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" sheetId="1" state="visible" r:id="rId3"/>
    <sheet name="OutSystems ODC" sheetId="2" state="visible" r:id="rId4"/>
    <sheet name="Agent Workbench" sheetId="3" state="visible" r:id="rId5"/>
    <sheet name="BnK IDP" sheetId="4" state="visible" r:id="rId6"/>
    <sheet name="InsureMO" sheetId="5" state="visible" r:id="rId7"/>
    <sheet name="Chuẩn bị &amp; Rủi ro" sheetId="6" state="visible" r:id="rId8"/>
  </sheets>
  <definedNames>
    <definedName function="false" hidden="true" localSheetId="2" name="_xlnm._FilterDatabase" vbProcedure="false">'Agent Workbench'!$A$1:$I$13</definedName>
    <definedName function="false" hidden="true" localSheetId="3" name="_xlnm._FilterDatabase" vbProcedure="false">'BnK IDP'!$A$1:$I$21</definedName>
    <definedName function="false" hidden="true" localSheetId="5" name="_xlnm._FilterDatabase" vbProcedure="false">'Chuẩn bị &amp; Rủi ro'!$A$1:$I$11</definedName>
    <definedName function="false" hidden="true" localSheetId="4" name="_xlnm._FilterDatabase" vbProcedure="false">InsureMO!$A$1:$I$10</definedName>
    <definedName function="false" hidden="true" localSheetId="1" name="_xlnm._FilterDatabase" vbProcedure="false">'OutSystems ODC'!$A$1:$I$39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<sst xmlns="http://schemas.openxmlformats.org/spreadsheetml/2006/main" count="734" uniqueCount="466">
  <si>
    <t xml:space="preserve">Thành phần cần dùng theo nền tảng</t>
  </si>
  <si>
    <t xml:space="preserve">Bài dự thi OutSystems Partner Hackathon APAC 2026 · Nền tảng Bồi thường Bảo hiểm Sức khoẻ Số (MVP 1 · hành trình J2)</t>
  </si>
  <si>
    <t xml:space="preserve">Nguồn: D1–D3 MVP 1, spec REST Consume BnK IDP v0.1 (gọi thật staging 03/09/2026), xác nhận năng lực InsureMO Part A 21/08/2026, ghi chú KBYG 24/08/2026.</t>
  </si>
  <si>
    <t xml:space="preserve">Nền tảng / nguồn</t>
  </si>
  <si>
    <t xml:space="preserve">Số hạng mục</t>
  </si>
  <si>
    <t xml:space="preserve">Bắt buộc</t>
  </si>
  <si>
    <t xml:space="preserve">Nên có</t>
  </si>
  <si>
    <t xml:space="preserve">Sau hackathon</t>
  </si>
  <si>
    <t xml:space="preserve">Ghi chú</t>
  </si>
  <si>
    <t xml:space="preserve">OutSystems ODC</t>
  </si>
  <si>
    <t xml:space="preserve">5 module, 12 Entity, 9 Server Action, 1 Timer, 6 nhóm màn hình. Nơi duy nhất tiền chuyển động.</t>
  </si>
  <si>
    <t xml:space="preserve">Agent Workbench</t>
  </si>
  <si>
    <t xml:space="preserve">7 tác vụ AG-0…AG-7. AG-1/2 là TOOL (BnK IDP), phần còn lại là agent. Phụ thuộc EAP.</t>
  </si>
  <si>
    <t xml:space="preserve">BnK IDP</t>
  </si>
  <si>
    <t xml:space="preserve">6 REST method là đủ cho bản dựng đầu; phần còn lại là cấu hình và quy tắc adapter.</t>
  </si>
  <si>
    <t xml:space="preserve">InsureMO</t>
  </si>
  <si>
    <t xml:space="preserve">Hackathon mock/seed toàn bộ. Core nằm sau adapter nên đổi core không đụng lớp agent.</t>
  </si>
  <si>
    <t xml:space="preserve">Chuẩn bị &amp; Rủi ro</t>
  </si>
  <si>
    <t xml:space="preserve">Việc ngoài code: giấy phép, dữ liệu, quyết định nghiệp vụ, nguồn lực.</t>
  </si>
  <si>
    <t xml:space="preserve">TỔNG</t>
  </si>
  <si>
    <t xml:space="preserve">Cách dùng bảng này</t>
  </si>
  <si>
    <t xml:space="preserve">• Mỗi sheet là một nền tảng. Cột « Mức cần » và « Trạng thái » là ô chọn — cập nhật trực tiếp, số ở sheet này tự tính lại.</t>
  </si>
  <si>
    <t xml:space="preserve">• Cột « Người phụ trách » để trống, điền tên khi phân công.</t>
  </si>
  <si>
    <t xml:space="preserve">• « Bắt buộc » = không có thì không chạy được bài thi. « Nên có » = làm tăng điểm. « Sau hackathon » = để dành cho pilot.</t>
  </si>
  <si>
    <t xml:space="preserve">• Ba việc gấp nhất, đều nằm ngoài code: P-01 bật Agent Experience EAP, P-02 chốt tên khách hàng tham chiếu, P-03 che PII trong bộ chứng từ demo.</t>
  </si>
  <si>
    <t xml:space="preserve">• Số liệu kỹ thuật của BnK IDP là đo thật trên staging ngày 03/09/2026: 16,1 giây trích xuất một trang, khoảng 30 giây cho luồng đánh giá 20 mục.</t>
  </si>
  <si>
    <t xml:space="preserve">Mã</t>
  </si>
  <si>
    <t xml:space="preserve">Hạng mục</t>
  </si>
  <si>
    <t xml:space="preserve">Loại</t>
  </si>
  <si>
    <t xml:space="preserve">Mục đích / nội dung</t>
  </si>
  <si>
    <t xml:space="preserve">Chi tiết kỹ thuật</t>
  </si>
  <si>
    <t xml:space="preserve">Mức cần</t>
  </si>
  <si>
    <t xml:space="preserve">Trạng thái</t>
  </si>
  <si>
    <t xml:space="preserve">Rủi ro / phụ thuộc</t>
  </si>
  <si>
    <t xml:space="preserve">Người phụ trách</t>
  </si>
  <si>
    <t xml:space="preserve">OS-01</t>
  </si>
  <si>
    <t xml:space="preserve">Tenant ODC (môi trường dev)</t>
  </si>
  <si>
    <t xml:space="preserve">Nền tảng</t>
  </si>
  <si>
    <t xml:space="preserve">Nơi dựng và chạy toàn bộ bài dự thi</t>
  </si>
  <si>
    <t xml:space="preserve">ODC tenant của BnK; ODC Studio bản mới nhất; quyền deploy cho 3 thành viên</t>
  </si>
  <si>
    <t xml:space="preserve">Chưa bắt đầu</t>
  </si>
  <si>
    <t xml:space="preserve">Chưa tạo tenant riêng cho hackathon</t>
  </si>
  <si>
    <t xml:space="preserve">OS-02</t>
  </si>
  <si>
    <t xml:space="preserve">Agent Experience EAP</t>
  </si>
  <si>
    <t xml:space="preserve">Giấy phép</t>
  </si>
  <si>
    <t xml:space="preserve">Bật Agent Workbench cho tenant</t>
  </si>
  <si>
    <t xml:space="preserve">BnK chưa nằm trong 10 công ty đợt đầu — phải xin qua Partner Manager (Lynn) / email Deniz Arin</t>
  </si>
  <si>
    <t xml:space="preserve">RỦI RO CAO: không bật được thì không có Agent Workbench, tức là không có bài</t>
  </si>
  <si>
    <t xml:space="preserve">OS-03</t>
  </si>
  <si>
    <t xml:space="preserve">Tài khoản &amp; quyền repo Skills</t>
  </si>
  <si>
    <t xml:space="preserve">Quản lý mã nguồn và skills dùng chung</t>
  </si>
  <si>
    <t xml:space="preserve">GitHub ID của từng thành viên; Claude paid license cho mỗi kỹ thuật viên</t>
  </si>
  <si>
    <t xml:space="preserve">OS-04</t>
  </si>
  <si>
    <t xml:space="preserve">Roles</t>
  </si>
  <si>
    <t xml:space="preserve">Cấu hình</t>
  </si>
  <si>
    <t xml:space="preserve">Phân quyền theo vai</t>
  </si>
  <si>
    <t xml:space="preserve">Customer · Assessor · Approver · Administrator. Ràng buộc: người duyệt ≠ người thẩm định (B-07)</t>
  </si>
  <si>
    <t xml:space="preserve">OS-05</t>
  </si>
  <si>
    <t xml:space="preserve">Site Property ReplayMode</t>
  </si>
  <si>
    <t xml:space="preserve">Dự phòng ngày demo — phát lại kết quả IDP đã ghi</t>
  </si>
  <si>
    <t xml:space="preserve">Bật ReplayMode để demo không phụ thuộc staging IDP sống</t>
  </si>
  <si>
    <t xml:space="preserve">Phải ghi sẵn JSON đã gọi thật ngày 03/09</t>
  </si>
  <si>
    <t xml:space="preserve">OS-M1</t>
  </si>
  <si>
    <t xml:space="preserve">CLM_Core</t>
  </si>
  <si>
    <t xml:space="preserve">Module · Service</t>
  </si>
  <si>
    <t xml:space="preserve">Toàn bộ nghiệp vụ tất định — nơi duy nhất tiền chuyển động</t>
  </si>
  <si>
    <t xml:space="preserve">Entity + Server Action. Chuỗi 14 bước, cổng 4 điều kiện, sổ hạn mức, lệnh chi. Là tool cho agent gọi, không chứa logic agent</t>
  </si>
  <si>
    <t xml:space="preserve">OS-M2</t>
  </si>
  <si>
    <t xml:space="preserve">CLM_Agents</t>
  </si>
  <si>
    <t xml:space="preserve">Module · Agent Workbench</t>
  </si>
  <si>
    <t xml:space="preserve">Bảy tác vụ AI hỗ trợ</t>
  </si>
  <si>
    <t xml:space="preserve">AG-0, 3, 4, 5, 6, 7: prompt + tri thức có phiên bản + tool list + guardrail</t>
  </si>
  <si>
    <t xml:space="preserve">Phụ thuộc OS-02 (EAP)</t>
  </si>
  <si>
    <t xml:space="preserve">OS-M3</t>
  </si>
  <si>
    <t xml:space="preserve">CLM_IDP_Int</t>
  </si>
  <si>
    <t xml:space="preserve">Tích hợp BnK IDP</t>
  </si>
  <si>
    <t xml:space="preserve">6 REST Consume, adapter chuẩn hoá, Timer poll, ReplayMode</t>
  </si>
  <si>
    <t xml:space="preserve">OS-M4</t>
  </si>
  <si>
    <t xml:space="preserve">CLM_Console</t>
  </si>
  <si>
    <t xml:space="preserve">Module · Reactive Web</t>
  </si>
  <si>
    <t xml:space="preserve">Màn hình cán bộ thẩm định</t>
  </si>
  <si>
    <t xml:space="preserve">Hàng đợi, chi tiết 8 tab, nhật ký, KPI, quản trị</t>
  </si>
  <si>
    <t xml:space="preserve">OS-M5</t>
  </si>
  <si>
    <t xml:space="preserve">CLM_Portal</t>
  </si>
  <si>
    <t xml:space="preserve">App khách hàng</t>
  </si>
  <si>
    <t xml:space="preserve">Responsive; bản mobile native để sau. Chỉ gọi Server Action, không gọi IDP trực tiếp</t>
  </si>
  <si>
    <t xml:space="preserve">OS-E1</t>
  </si>
  <si>
    <t xml:space="preserve">Claim</t>
  </si>
  <si>
    <t xml:space="preserve">Entity</t>
  </si>
  <si>
    <t xml:space="preserve">Hồ sơ bồi thường</t>
  </si>
  <si>
    <t xml:space="preserve">13 trạng thái; mã từ chối NOTREL/NOTCOV/WAIT…</t>
  </si>
  <si>
    <t xml:space="preserve">OS-E2</t>
  </si>
  <si>
    <t xml:space="preserve">ClaimCostLine</t>
  </si>
  <si>
    <t xml:space="preserve">Từng dòng chi phí</t>
  </si>
  <si>
    <t xml:space="preserve">Số tiền yêu cầu / thuộc phạm vi / chi trả; quyền lợi ánh xạ; quyết định theo dòng</t>
  </si>
  <si>
    <t xml:space="preserve">OS-E3</t>
  </si>
  <si>
    <t xml:space="preserve">PolicySnapshot</t>
  </si>
  <si>
    <t xml:space="preserve">Bản chụp hợp đồng tại thời điểm nộp</t>
  </si>
  <si>
    <t xml:space="preserve">Quy tắc P-02: chụp một lần, không hỏi lại core khi tính</t>
  </si>
  <si>
    <t xml:space="preserve">Phụ thuộc dữ liệu seed / InsureMO I-05</t>
  </si>
  <si>
    <t xml:space="preserve">OS-E4</t>
  </si>
  <si>
    <t xml:space="preserve">LimitCounter + LimitConsumption</t>
  </si>
  <si>
    <t xml:space="preserve">Sổ hạn mức hai pha</t>
  </si>
  <si>
    <t xml:space="preserve">Bút toán Tạm khi phê duyệt → Chốt khi chi trả; không bao giờ xoá</t>
  </si>
  <si>
    <t xml:space="preserve">OS-E5</t>
  </si>
  <si>
    <t xml:space="preserve">ClinicalRecommendation</t>
  </si>
  <si>
    <t xml:space="preserve">Đề xuất y khoa của AG-5</t>
  </si>
  <si>
    <t xml:space="preserve">proposedReasonCode, evidence[], confidence, knowledgeVersion, theo dòng chi phí</t>
  </si>
  <si>
    <t xml:space="preserve">IDP hiện KHÔNG trả các trường này — AG-5 phải tự sinh</t>
  </si>
  <si>
    <t xml:space="preserve">OS-E6</t>
  </si>
  <si>
    <t xml:space="preserve">RecommendationDecision</t>
  </si>
  <si>
    <t xml:space="preserve">Người xác nhận / bác bỏ đề xuất</t>
  </si>
  <si>
    <t xml:space="preserve">Bác bỏ bắt buộc ghi lý do; dùng để đo tỷ lệ đồng thuận SC-09</t>
  </si>
  <si>
    <t xml:space="preserve">OS-E7</t>
  </si>
  <si>
    <t xml:space="preserve">AdjudicationRun</t>
  </si>
  <si>
    <t xml:space="preserve">Mỗi lần chạy chuỗi 14 bước</t>
  </si>
  <si>
    <t xml:space="preserve">Lưu before/after để chứng minh 2.000.000 → 1.880.000 ₫</t>
  </si>
  <si>
    <t xml:space="preserve">OS-E8</t>
  </si>
  <si>
    <t xml:space="preserve">AgentRun</t>
  </si>
  <si>
    <t xml:space="preserve">Nhật ký kỹ thuật của mọi bước tự động</t>
  </si>
  <si>
    <t xml:space="preserve">handoffTo, knowledgeVersion, input tham chiếu (không copy PII), thời gian, trạng thái</t>
  </si>
  <si>
    <t xml:space="preserve">Đây là bằng chứng 'agent-to-agent' giám khảo yêu cầu</t>
  </si>
  <si>
    <t xml:space="preserve">OS-E9</t>
  </si>
  <si>
    <t xml:space="preserve">IdpSession</t>
  </si>
  <si>
    <t xml:space="preserve">Cache token IDP</t>
  </si>
  <si>
    <t xml:space="preserve">AccessToken (Text 400), ObtainedAt, TenantId, UserId — 1 dòng</t>
  </si>
  <si>
    <t xml:space="preserve">TTL token chưa xác nhận — bắt đầu 30 phút / login lại khi 401</t>
  </si>
  <si>
    <t xml:space="preserve">OS-E10</t>
  </si>
  <si>
    <t xml:space="preserve">IdpFieldMap</t>
  </si>
  <si>
    <t xml:space="preserve">Ánh xạ nhãn IDP sang khoá nghiệp vụ</t>
  </si>
  <si>
    <t xml:space="preserve">templateId + k (nhãn tiếng Việt) → FieldCode, có version; cảnh báo khi gặp k lạ</t>
  </si>
  <si>
    <t xml:space="preserve">IDP trả nhãn chứ không trả khoá máy — nhãn đổi là vỡ</t>
  </si>
  <si>
    <t xml:space="preserve">OS-E11</t>
  </si>
  <si>
    <t xml:space="preserve">ClaimDocument + ChecklistItem</t>
  </si>
  <si>
    <t xml:space="preserve">Chứng từ và checklist 3 mức</t>
  </si>
  <si>
    <t xml:space="preserve">Bắt buộc / Dự kiến / Tuỳ chọn theo loại điều trị; giữ bản gốc bất biến RawExtractionJson</t>
  </si>
  <si>
    <t xml:space="preserve">OS-E12</t>
  </si>
  <si>
    <t xml:space="preserve">TermRegister</t>
  </si>
  <si>
    <t xml:space="preserve">Sổ điều khoản có hiệu lực theo ngày</t>
  </si>
  <si>
    <t xml:space="preserve">TERM-HC-001…010; tác giả ≠ người duyệt điều khoản (B-07)</t>
  </si>
  <si>
    <t xml:space="preserve">OS-A1</t>
  </si>
  <si>
    <t xml:space="preserve">RunAdjudicationChain</t>
  </si>
  <si>
    <t xml:space="preserve">Server Action</t>
  </si>
  <si>
    <t xml:space="preserve">Chuỗi tính 14 bước tất định</t>
  </si>
  <si>
    <t xml:space="preserve">Cùng đầu vào ra cùng kết quả; làm tròn từng bước; không dùng rule engine (P-05)</t>
  </si>
  <si>
    <t xml:space="preserve">OS-A2</t>
  </si>
  <si>
    <t xml:space="preserve">EvaluateGate</t>
  </si>
  <si>
    <t xml:space="preserve">Cổng tự động duyệt 4 điều kiện</t>
  </si>
  <si>
    <t xml:space="preserve">≤ ngưỡng tiền &amp; không gì bị cắt · y khoa COMPLETE + phủ hết dòng + không đề xuất · không điểm kiểm mở · không tín hiệu trùng</t>
  </si>
  <si>
    <t xml:space="preserve">Ngưỡng tiền là tham số, không hard-code</t>
  </si>
  <si>
    <t xml:space="preserve">OS-A3</t>
  </si>
  <si>
    <t xml:space="preserve">ConfirmRecommendation</t>
  </si>
  <si>
    <t xml:space="preserve">Ghi quyết định của người + chạy lại chuỗi trong MỘT transaction</t>
  </si>
  <si>
    <t xml:space="preserve">Bảo đảm không có trạng thái nửa vời giữa quyết định và số tiền</t>
  </si>
  <si>
    <t xml:space="preserve">OS-A4</t>
  </si>
  <si>
    <t xml:space="preserve">WriteAgentRun</t>
  </si>
  <si>
    <t xml:space="preserve">Ghi nhật ký từng bước tự động</t>
  </si>
  <si>
    <t xml:space="preserve">Mọi agent đều gọi; là tool bắt buộc trong mọi agent</t>
  </si>
  <si>
    <t xml:space="preserve">OS-A5</t>
  </si>
  <si>
    <t xml:space="preserve">IdpParseExtraction</t>
  </si>
  <si>
    <t xml:space="preserve">Adapter chuẩn hoá kết quả IDP</t>
  </si>
  <si>
    <t xml:space="preserve">Dùng chung cho /request/sync (result.result 2 lớp) và /request/{id}/result (1 lớp)</t>
  </si>
  <si>
    <t xml:space="preserve">OS-A6</t>
  </si>
  <si>
    <t xml:space="preserve">IdpGetToken</t>
  </si>
  <si>
    <t xml:space="preserve">Lấy / làm mới token IDP</t>
  </si>
  <si>
    <t xml:space="preserve">Login lại khi quá TTL hoặc gặp 401. Không có refresh token</t>
  </si>
  <si>
    <t xml:space="preserve">OS-A7</t>
  </si>
  <si>
    <t xml:space="preserve">SubmitClaim</t>
  </si>
  <si>
    <t xml:space="preserve">Nhận hồ sơ từ app khách hàng</t>
  </si>
  <si>
    <t xml:space="preserve">Sinh Claim + PolicySnapshot + gọi AG-0</t>
  </si>
  <si>
    <t xml:space="preserve">OS-A8</t>
  </si>
  <si>
    <t xml:space="preserve">IssuePaymentInstruction</t>
  </si>
  <si>
    <t xml:space="preserve">Phát hành lệnh chi + chốt bút toán hạn mức</t>
  </si>
  <si>
    <t xml:space="preserve">Chỉ chạy sau phê duyệt của người duyệt</t>
  </si>
  <si>
    <t xml:space="preserve">OS-A9</t>
  </si>
  <si>
    <t xml:space="preserve">REST Expose — mock core</t>
  </si>
  <si>
    <t xml:space="preserve">Giả lập InsureMO cho hackathon</t>
  </si>
  <si>
    <t xml:space="preserve">Trả JSON tĩnh hoặc seed cây quyền lợi HC-STD/PLS/PRM theo P-02</t>
  </si>
  <si>
    <t xml:space="preserve">Thay bằng InsureMO thật ở pilot</t>
  </si>
  <si>
    <t xml:space="preserve">OS-T1</t>
  </si>
  <si>
    <t xml:space="preserve">IdpAssessmentPoller</t>
  </si>
  <si>
    <t xml:space="preserve">Timer</t>
  </si>
  <si>
    <t xml:space="preserve">Poll kết quả đánh giá của IDP</t>
  </si>
  <si>
    <t xml:space="preserve">Backoff 3 → 5 → 10 → 30 s, trần 15 phút; quá trần thì chạy Track 1 một mình + cảnh báo</t>
  </si>
  <si>
    <t xml:space="preserve">IDP dùng socket.io — ODC không nghe được, buộc phải poll</t>
  </si>
  <si>
    <t xml:space="preserve">OS-S1</t>
  </si>
  <si>
    <t xml:space="preserve">Hàng đợi công việc (F42)</t>
  </si>
  <si>
    <t xml:space="preserve">Màn hình</t>
  </si>
  <si>
    <t xml:space="preserve">Danh sách hồ sơ được giao</t>
  </si>
  <si>
    <t xml:space="preserve">Lọc theo trạng thái, tuổi hồ sơ, cán bộ; nhận hồ sơ chưa giao</t>
  </si>
  <si>
    <t xml:space="preserve">OS-S2</t>
  </si>
  <si>
    <t xml:space="preserve">Chi tiết hồ sơ 8 tab (F44–F53)</t>
  </si>
  <si>
    <t xml:space="preserve">Màn hình chính của sản phẩm</t>
  </si>
  <si>
    <t xml:space="preserve">Thông tin chung · Chứng từ · Trích xuất &amp; chi phí · Sự kiện &amp; phạm vi · Tính toán &amp; hạn mức · Phương án bồi thường · Phê duyệt &amp; chi trả · Lịch sử &amp; nhật ký</t>
  </si>
  <si>
    <t xml:space="preserve">OS-S3</t>
  </si>
  <si>
    <t xml:space="preserve">Bảng điều khiển (F54) + Quản trị (F55)</t>
  </si>
  <si>
    <t xml:space="preserve">Số liệu vận hành và cấu hình</t>
  </si>
  <si>
    <t xml:space="preserve">OS-S4</t>
  </si>
  <si>
    <t xml:space="preserve">Tham chiếu: hợp đồng F60 · điều khoản F65 · điểm kiểm F67 · hạn mức F48</t>
  </si>
  <si>
    <t xml:space="preserve">Tra cứu khi thẩm định</t>
  </si>
  <si>
    <t xml:space="preserve">OS-S5</t>
  </si>
  <si>
    <t xml:space="preserve">App khách hàng (S07–S14)</t>
  </si>
  <si>
    <t xml:space="preserve">Tạo hồ sơ bằng ảnh chụp, theo dõi, bổ sung chứng từ</t>
  </si>
  <si>
    <t xml:space="preserve">4 trạng thái với khách: Đã gửi → Đang xử lý chứng từ → Đang thẩm định → Kết quả</t>
  </si>
  <si>
    <t xml:space="preserve">OS-S6</t>
  </si>
  <si>
    <t xml:space="preserve">Hàng đợi vận hành (F53)</t>
  </si>
  <si>
    <t xml:space="preserve">Hồ sơ lỗi xử lý tài liệu / quá hạn</t>
  </si>
  <si>
    <t xml:space="preserve">EXTRACTION_ERROR không bao giờ tự thành từ chối</t>
  </si>
  <si>
    <t xml:space="preserve">AG-0</t>
  </si>
  <si>
    <t xml:space="preserve">Orchestrator — điều phối hồ sơ</t>
  </si>
  <si>
    <t xml:space="preserve">Agent · Orchestrator</t>
  </si>
  <si>
    <t xml:space="preserve">Điều phối luồng và hàng đợi, KHÔNG bao giờ quyết định tiền</t>
  </si>
  <si>
    <t xml:space="preserve">Tri thức: sơ đồ luồng J2 + quy tắc chờ. Tool: RunAgent · CallIdpSubmit · RunChain · EvaluateGate · RouteToQueue · WriteAgentRun</t>
  </si>
  <si>
    <t xml:space="preserve">Bộ tool phải bị giới hạn — đây là guardrail chính</t>
  </si>
  <si>
    <t xml:space="preserve">AG-1/2</t>
  </si>
  <si>
    <t xml:space="preserve">Phân loại + trích xuất chứng từ</t>
  </si>
  <si>
    <t xml:space="preserve">TOOL (không phải agent)</t>
  </si>
  <si>
    <t xml:space="preserve">Đọc chứng từ — năng lực sẵn có của BnK IDP</t>
  </si>
  <si>
    <t xml:space="preserve">Gọi REST POST /request/sync với templates 5384,5127,5299,5383,5340. Trả dữ liệu, không suy luận</t>
  </si>
  <si>
    <t xml:space="preserve">Đây là tool, đừng trình bày như agent — giám khảo sẽ hỏi</t>
  </si>
  <si>
    <t xml:space="preserve">AG-3</t>
  </si>
  <si>
    <t xml:space="preserve">Đối chiếu chéo giấy tờ</t>
  </si>
  <si>
    <t xml:space="preserve">Agent</t>
  </si>
  <si>
    <t xml:space="preserve">Tìm chỗ các giấy tờ nói khác nhau</t>
  </si>
  <si>
    <t xml:space="preserve">Tri thức: R1–R9 + 20 cảnh báo của flow 28/8. Tool: GetIdpWarnings · GetNormalisedLines · WriteWarning</t>
  </si>
  <si>
    <t xml:space="preserve">AG-4</t>
  </si>
  <si>
    <t xml:space="preserve">Kiểm tra đủ hồ sơ</t>
  </si>
  <si>
    <t xml:space="preserve">Thiếu gì, hỏi khách câu nào</t>
  </si>
  <si>
    <t xml:space="preserve">Tri thức: checklist theo loại điều trị. Tool: GetMatchedTemplates · GetChecklist · RaiseInfoRequest</t>
  </si>
  <si>
    <t xml:space="preserve">AG-5</t>
  </si>
  <si>
    <t xml:space="preserve">Kiểm tra phù hợp y khoa</t>
  </si>
  <si>
    <t xml:space="preserve">Lấp đúng khoảng trống IDP chưa đáp ứng (nhóm H)</t>
  </si>
  <si>
    <t xml:space="preserve">Tri thức: KB lâm sàng CÓ PHIÊN BẢN (kb-2026-08-01). Tool: GetClinicalContext (không PII) · SearchKB · WriteRecommendation. Đầu ra: NOTREL/NOTCOV + evidence[] + độ tin cậy, theo từng dòng</t>
  </si>
  <si>
    <t xml:space="preserve">RK-08: KB lâm sàng chưa có y khoa ký duyệt — chế độ tư vấn, bằng chứng bắt buộc</t>
  </si>
  <si>
    <t xml:space="preserve">AG-6</t>
  </si>
  <si>
    <t xml:space="preserve">Tín hiệu trùng &amp; gian lận</t>
  </si>
  <si>
    <t xml:space="preserve">Sinh tín hiệu cho điều kiện 4 của cổng</t>
  </si>
  <si>
    <t xml:space="preserve">Tri thức: danh mục 13.328 cơ sở KCB + lịch sử hồ sơ. Tool: SearchHospital · FindDuplicateClaims · WriteSignal</t>
  </si>
  <si>
    <t xml:space="preserve">AG-7</t>
  </si>
  <si>
    <t xml:space="preserve">Soạn nháp thư cho khách</t>
  </si>
  <si>
    <t xml:space="preserve">Viết lý do bằng lời, cán bộ sửa trước khi gửi</t>
  </si>
  <si>
    <t xml:space="preserve">Tri thức: 7 mẫu lý do (A2 §4). Tool: GetDeclineContext · WriteDraft</t>
  </si>
  <si>
    <t xml:space="preserve">Không bao giờ tự gửi</t>
  </si>
  <si>
    <t xml:space="preserve">AW-01</t>
  </si>
  <si>
    <t xml:space="preserve">Cơ sở tri thức lâm sàng có phiên bản</t>
  </si>
  <si>
    <t xml:space="preserve">Tài sản tri thức</t>
  </si>
  <si>
    <t xml:space="preserve">Nguồn tri thức của AG-5</t>
  </si>
  <si>
    <t xml:space="preserve">Ghi knowledgeVersion vào mọi AgentRun để giải thích được sáu tháng sau</t>
  </si>
  <si>
    <t xml:space="preserve">Cần y khoa rà soát trước khi ra pilot (RK-08)</t>
  </si>
  <si>
    <t xml:space="preserve">AW-02</t>
  </si>
  <si>
    <t xml:space="preserve">Cơ chế agent gọi agent</t>
  </si>
  <si>
    <t xml:space="preserve">Quyết định kiến trúc</t>
  </si>
  <si>
    <t xml:space="preserve">Agent gọi trực tiếp hay Orchestrator gọi tuần tự qua Server Action</t>
  </si>
  <si>
    <t xml:space="preserve">Chốt tại buổi Technical Enablement 07/09 với SA OutSystems</t>
  </si>
  <si>
    <t xml:space="preserve">Cả hai đều dựng được — chỉ khác cơ chế, không khác câu chuyện</t>
  </si>
  <si>
    <t xml:space="preserve">AW-03</t>
  </si>
  <si>
    <t xml:space="preserve">Guardrail bằng code</t>
  </si>
  <si>
    <t xml:space="preserve">Nguyên tắc</t>
  </si>
  <si>
    <t xml:space="preserve">Cổng 4 điều kiện, đường ranh tiền, evidence bắt buộc</t>
  </si>
  <si>
    <t xml:space="preserve">Guardrail nằm trong Server Action, KHÔNG nằm trong prompt</t>
  </si>
  <si>
    <t xml:space="preserve">AW-04</t>
  </si>
  <si>
    <t xml:space="preserve">Unit test payload không chứa PII</t>
  </si>
  <si>
    <t xml:space="preserve">Kiểm thử</t>
  </si>
  <si>
    <t xml:space="preserve">Chứng minh AG-5 chỉ thấy nhóm tuổi + giới + chẩn đoán</t>
  </si>
  <si>
    <t xml:space="preserve">Test riêng cho từng agent</t>
  </si>
  <si>
    <t xml:space="preserve">Điều kiện biên BC-1</t>
  </si>
  <si>
    <t xml:space="preserve">AW-05</t>
  </si>
  <si>
    <t xml:space="preserve">Đo tỷ lệ đồng thuận với đề xuất</t>
  </si>
  <si>
    <t xml:space="preserve">Đo lường</t>
  </si>
  <si>
    <t xml:space="preserve">SC-09 — đo từ hồ sơ đầu tiên</t>
  </si>
  <si>
    <t xml:space="preserve">Đọc từ RecommendationDecision</t>
  </si>
  <si>
    <t xml:space="preserve">Mục tiêu đặt sau benchmark</t>
  </si>
  <si>
    <t xml:space="preserve">IDP-01</t>
  </si>
  <si>
    <t xml:space="preserve">POST /auth/login + GET /user/me</t>
  </si>
  <si>
    <t xml:space="preserve">REST Consume</t>
  </si>
  <si>
    <t xml:space="preserve">Lấy token và thông tin tenant</t>
  </si>
  <si>
    <t xml:space="preserve">Body {username,password} → 201 {access_token}. /user/me trả tenantId, roleId (End User = 2)</t>
  </si>
  <si>
    <t xml:space="preserve">Không có service account — phải tạo tài khoản vai Tenant riêng</t>
  </si>
  <si>
    <t xml:space="preserve">IDP-02</t>
  </si>
  <si>
    <t xml:space="preserve">POST /request/sync</t>
  </si>
  <si>
    <t xml:space="preserve">Nộp chứng từ + nhận kết quả trích xuất trong một lời gọi</t>
  </si>
  <si>
    <t xml:space="preserve">multipart: name (nhét ClaimNo) · templates (CHUỖI ngăn phẩy, không phải array) · document. Đo thật ~16,1 s/trang</t>
  </si>
  <si>
    <t xml:space="preserve">result.result LỒNG HAI LỚP ở /sync, một lớp ở /request/{id}/result</t>
  </si>
  <si>
    <t xml:space="preserve">IDP-03</t>
  </si>
  <si>
    <t xml:space="preserve">PUT /workflow/request</t>
  </si>
  <si>
    <t xml:space="preserve">Nộp yêu cầu đánh giá</t>
  </si>
  <si>
    <t xml:space="preserve">Body: ocrRequestIds[] · workflowId · name · extraInputData[]. Trả workflowRequestId</t>
  </si>
  <si>
    <t xml:space="preserve">autoStart VÔ TÁC DỤNG — bắt buộc gọi IDP-04</t>
  </si>
  <si>
    <t xml:space="preserve">IDP-04</t>
  </si>
  <si>
    <t xml:space="preserve">GET /workflow/run-workflow-request/{id}</t>
  </si>
  <si>
    <t xml:space="preserve">Kích hoạt workflow</t>
  </si>
  <si>
    <t xml:space="preserve">Không body. Lần đầu có thể 400 → chờ 2 s, thử lại tối đa 3 lần</t>
  </si>
  <si>
    <t xml:space="preserve">IDP-05</t>
  </si>
  <si>
    <t xml:space="preserve">GET /workflow/request/{id}</t>
  </si>
  <si>
    <t xml:space="preserve">Poll trạng thái</t>
  </si>
  <si>
    <t xml:space="preserve">status: 1 Waiting · 7 InQueue · 2 Running · 3 Finished · 4 Error · 5 NotFound · 6 Unknown. Đo thật ~30 s</t>
  </si>
  <si>
    <t xml:space="preserve">IDP-06</t>
  </si>
  <si>
    <t xml:space="preserve">GET /workflow/request/{id}/result/json</t>
  </si>
  <si>
    <t xml:space="preserve">Lấy 20 mục kết quả đánh giá</t>
  </si>
  <si>
    <t xml:space="preserve">instruction_type ∈ {Cảnh báo, Trích xuất field}; warning_level ∈ {0, 0.5, 1}</t>
  </si>
  <si>
    <t xml:space="preserve">400 mã 4007 → thử lại; data = {} sau khi Finished là HỎNG, không phải sạch</t>
  </si>
  <si>
    <t xml:space="preserve">IDP-07</t>
  </si>
  <si>
    <t xml:space="preserve">GET /request/{id}/raw-file</t>
  </si>
  <si>
    <t xml:space="preserve">Lấy ảnh gốc để cán bộ đối chiếu</t>
  </si>
  <si>
    <t xml:space="preserve">TRẢ application/zip — phải giải nén trước khi hiển thị</t>
  </si>
  <si>
    <t xml:space="preserve">IDP-08</t>
  </si>
  <si>
    <t xml:space="preserve">GET /metadata/opensearch/table/322/search</t>
  </si>
  <si>
    <t xml:space="preserve">Tra cơ sở khám chữa bệnh</t>
  </si>
  <si>
    <t xml:space="preserve">→ hospital_code, country. Bảng 322 có 13.328 dòng. Đóng câu hỏi mở Q-IDP-05</t>
  </si>
  <si>
    <t xml:space="preserve">IDP-09</t>
  </si>
  <si>
    <t xml:space="preserve">Structures chuẩn hoá</t>
  </si>
  <si>
    <t xml:space="preserve">Cấu trúc dữ liệu</t>
  </si>
  <si>
    <t xml:space="preserve">Khuôn dữ liệu dùng trong ODC</t>
  </si>
  <si>
    <t xml:space="preserve">IdpExtractionResult · IdpTemplateData · IdpField {K,V,C,CLlm,MatchW,PageNumber} · IdpTable · IdpAssessmentItem</t>
  </si>
  <si>
    <t xml:space="preserve">IDP-10</t>
  </si>
  <si>
    <t xml:space="preserve">Bảy quy tắc adapter</t>
  </si>
  <si>
    <t xml:space="preserve">Quy tắc triển khai</t>
  </si>
  <si>
    <t xml:space="preserve">Chuẩn hoá đầu ra IDP</t>
  </si>
  <si>
    <t xml:space="preserve">k là nhãn → giữ bảng ánh xạ · v='' → null · field rỗng vẫn c=1 nên confidence = min c trên field bắt buộc CÓ giá trị · hai thang 0–1 và 0–100 · parse cả dd/MM/yyyy và yyyy-MM-dd · mọi lỗi IDP → EXTRACTION_ERROR · copy kết quả lần đọc đầu làm bản gốc bất biến</t>
  </si>
  <si>
    <t xml:space="preserve">IDP-11</t>
  </si>
  <si>
    <t xml:space="preserve">Header User-Agent giả trình duyệt</t>
  </si>
  <si>
    <t xml:space="preserve">Cấu hình bắt buộc</t>
  </si>
  <si>
    <t xml:space="preserve">Vượt Cloudflare</t>
  </si>
  <si>
    <t xml:space="preserve">Thiếu header này Cloudflare trả 403 error 1010 trên mọi request</t>
  </si>
  <si>
    <t xml:space="preserve">Lỗi này rất dễ mất nửa ngày nếu không biết trước</t>
  </si>
  <si>
    <t xml:space="preserve">IDP-12</t>
  </si>
  <si>
    <t xml:space="preserve">Ghim workflowId 5ed8e4fc-…</t>
  </si>
  <si>
    <t xml:space="preserve">Chọn đúng flow chạy được</t>
  </si>
  <si>
    <t xml:space="preserve">'Workflow Claim 28/8' — flow duy nhất trả JSON đầy đủ 4/4 lần. Flow 8d873709-… trả {}</t>
  </si>
  <si>
    <t xml:space="preserve">Flow bị sửa giữa sprint là hỏng demo → ghim version hoặc clone riêng</t>
  </si>
  <si>
    <t xml:space="preserve">IDP-13</t>
  </si>
  <si>
    <t xml:space="preserve">Tài khoản tích hợp vai Tenant</t>
  </si>
  <si>
    <t xml:space="preserve">Chuẩn bị</t>
  </si>
  <si>
    <t xml:space="preserve">Tài khoản riêng cho tenant demo</t>
  </si>
  <si>
    <t xml:space="preserve">Không dùng tài khoản cá nhân đang có trong api-and-accounts.txt</t>
  </si>
  <si>
    <t xml:space="preserve">Vai Partner/Admin bị 403 trên toàn bộ /request/*</t>
  </si>
  <si>
    <t xml:space="preserve">IDP-14</t>
  </si>
  <si>
    <t xml:space="preserve">Bộ chứng từ sạch (Document Set)</t>
  </si>
  <si>
    <t xml:space="preserve">Chỉ gồm template y tế</t>
  </si>
  <si>
    <t xml:space="preserve">5384/5127 Giấy ra viện · 5299 Đơn thuốc · 5383 Bảng kê chi phí · 5340 Kết quả xét nghiệm · 5312 Biên lai viện phí</t>
  </si>
  <si>
    <t xml:space="preserve">Bộ 193 hiện lẫn Passport, Sales Invoice, Money transfer</t>
  </si>
  <si>
    <t xml:space="preserve">IDP-15</t>
  </si>
  <si>
    <t xml:space="preserve">POST /mbal/template-map</t>
  </si>
  <si>
    <t xml:space="preserve">Nạp map để subDocumentType không trả null</t>
  </si>
  <si>
    <t xml:space="preserve">Kèm crosswalk CL* → T1-nn / T2-nn giữ trong IdpFieldMap</t>
  </si>
  <si>
    <t xml:space="preserve">IDP-16</t>
  </si>
  <si>
    <t xml:space="preserve">POST /request/compare</t>
  </si>
  <si>
    <t xml:space="preserve">Đo độ chính xác trích xuất với bộ ground-truth XLSX</t>
  </si>
  <si>
    <t xml:space="preserve">Cần cho tiêu chí SC-02 và trang ROI — hiện đang ghi 'chưa đo'</t>
  </si>
  <si>
    <t xml:space="preserve">10–20 chứng từ + XLSX ground-truth phải chuẩn bị trước</t>
  </si>
  <si>
    <t xml:space="preserve">IDP-17</t>
  </si>
  <si>
    <t xml:space="preserve">Biến thể nhiều file</t>
  </si>
  <si>
    <t xml:space="preserve">Khi chứng từ nhiều trang / nhiều file</t>
  </si>
  <si>
    <t xml:space="preserve">POST /request/group → POST /request (×n) → GET /request/group/{id}/check-status → GET /request/{id}/result</t>
  </si>
  <si>
    <t xml:space="preserve">IDP-18</t>
  </si>
  <si>
    <t xml:space="preserve">Xác nhận thông số với đội IDP</t>
  </si>
  <si>
    <t xml:space="preserve">Chốt các giá trị chưa rõ</t>
  </si>
  <si>
    <t xml:space="preserve">TTL token · MAX_FILE_SIZE · THROTTLE thật (thiết kế ≤100 req/60 s) · flow 28/8 có ổn định 4 tuần không</t>
  </si>
  <si>
    <t xml:space="preserve">IDP-19</t>
  </si>
  <si>
    <t xml:space="preserve">Danh sách KHÔNG dùng</t>
  </si>
  <si>
    <t xml:space="preserve">Tránh mất thời gian và vi phạm thiết kế</t>
  </si>
  <si>
    <t xml:space="preserve">PUT /request/{id}/result (phá tính bất biến, vi phạm D3 §I-09) · POST /request/from-url (đang hỏng) · POST /request/merge-multiple (chỉ ảnh, ≤10) · socket.io Channel_{tenantId} (ODC không nghe được)</t>
  </si>
  <si>
    <t xml:space="preserve">IDP-20</t>
  </si>
  <si>
    <t xml:space="preserve">Khoảng trống IDP so với D3</t>
  </si>
  <si>
    <t xml:space="preserve">Ghi nhận</t>
  </si>
  <si>
    <t xml:space="preserve">13/64 yêu cầu đáp ứng đủ, 32/64 chưa đáp ứng</t>
  </si>
  <si>
    <t xml:space="preserve">Nhóm H (y khoa): không mã lý do, không bằng chứng, không theo dòng chi phí (8/12 mục)</t>
  </si>
  <si>
    <t xml:space="preserve">Đã rõ</t>
  </si>
  <si>
    <t xml:space="preserve">Đây chính là lý do tồn tại của AG-5</t>
  </si>
  <si>
    <t xml:space="preserve">I-01</t>
  </si>
  <si>
    <t xml:space="preserve">Catalogue sản phẩm &amp; cây quyền lợi</t>
  </si>
  <si>
    <t xml:space="preserve">Giao diện tích hợp</t>
  </si>
  <si>
    <t xml:space="preserve">Lấy định nghĩa sản phẩm và cây quyền lợi khi publish</t>
  </si>
  <si>
    <t xml:space="preserve">Hackathon: MOCK bằng REST Expose trả JSON tĩnh</t>
  </si>
  <si>
    <t xml:space="preserve">Provisional</t>
  </si>
  <si>
    <t xml:space="preserve">Chưa thấy payload thật</t>
  </si>
  <si>
    <t xml:space="preserve">I-02 / I-03</t>
  </si>
  <si>
    <t xml:space="preserve">Báo giá · nộp đơn &amp; cấp đơn (J1)</t>
  </si>
  <si>
    <t xml:space="preserve">Hành trình mua bảo hiểm</t>
  </si>
  <si>
    <t xml:space="preserve">Không thuộc phạm vi hackathon (chỉ J2)</t>
  </si>
  <si>
    <t xml:space="preserve">C-IMO-03: schema chưa có</t>
  </si>
  <si>
    <t xml:space="preserve">I-04</t>
  </si>
  <si>
    <t xml:space="preserve">Webhook/poll đơn đã cấp</t>
  </si>
  <si>
    <t xml:space="preserve">Đơn đã cấp → hợp đồng, thành viên, quyền lợi</t>
  </si>
  <si>
    <t xml:space="preserve">C-IMO-04</t>
  </si>
  <si>
    <t xml:space="preserve">I-05</t>
  </si>
  <si>
    <t xml:space="preserve">Thành viên, hợp đồng, cây quyền lợi as-at-date</t>
  </si>
  <si>
    <t xml:space="preserve">Nguồn dữ liệu cho PolicySnapshot (P-02) của J2</t>
  </si>
  <si>
    <t xml:space="preserve">Hackathon: SEED cây quyền lợi HC-STD / PLS / PRM vào Entity</t>
  </si>
  <si>
    <t xml:space="preserve">4 ẩn số đã được InsureMO đóng bằng văn bản 21/08</t>
  </si>
  <si>
    <t xml:space="preserve">I-06</t>
  </si>
  <si>
    <t xml:space="preserve">Đăng ký claim &amp; ghi kết quả lên hợp đồng</t>
  </si>
  <si>
    <t xml:space="preserve">Trả kết quả bồi thường về core</t>
  </si>
  <si>
    <t xml:space="preserve">Hackathon: MOCK</t>
  </si>
  <si>
    <t xml:space="preserve">IMO-07</t>
  </si>
  <si>
    <t xml:space="preserve">Sandbox + API catalogue</t>
  </si>
  <si>
    <t xml:space="preserve">Môi trường thử thật</t>
  </si>
  <si>
    <t xml:space="preserve">C-IMO-06 — vẫn là critical path cho pilot, không phải cho hackathon</t>
  </si>
  <si>
    <t xml:space="preserve">Không có sandbox thì pilot không chạy được</t>
  </si>
  <si>
    <t xml:space="preserve">IMO-08</t>
  </si>
  <si>
    <t xml:space="preserve">Adapter core-agnostic</t>
  </si>
  <si>
    <t xml:space="preserve">Kiến trúc</t>
  </si>
  <si>
    <t xml:space="preserve">Core nằm sau adapter</t>
  </si>
  <si>
    <t xml:space="preserve">Đổi core (InsureMO / Bicins / DataPlatform) không đụng tới lớp agent và chuỗi tính</t>
  </si>
  <si>
    <t xml:space="preserve">Đây là điểm bán hàng: claim platform là tài sản của BnK</t>
  </si>
  <si>
    <t xml:space="preserve">IMO-09</t>
  </si>
  <si>
    <t xml:space="preserve">RK-14 — phụ thuộc cứng, không fallback</t>
  </si>
  <si>
    <t xml:space="preserve">Rủi ro</t>
  </si>
  <si>
    <t xml:space="preserve">Cây quyền lợi chỉ sống trong InsureMO</t>
  </si>
  <si>
    <t xml:space="preserve">Policy Data Store đã bỏ ngày 21/08</t>
  </si>
  <si>
    <t xml:space="preserve">Với hackathon: seed/mock theo P-02. Với pilot: bắt buộc có sandbox</t>
  </si>
  <si>
    <t xml:space="preserve">IMO-10</t>
  </si>
  <si>
    <t xml:space="preserve">Xác nhận năng lực (Part A, 21/08)</t>
  </si>
  <si>
    <t xml:space="preserve">Những gì InsureMO đã xác nhận làm được</t>
  </si>
  <si>
    <t xml:space="preserve">Cây quyền lợi 2–3 tầng · hạn mức tiền &amp; số lần · thời gian chờ theo 6 lớp bệnh · đồng chi trả kế thừa · nhiều mức quyền lợi trên một hợp đồng · truy vấn as-at-date</t>
  </si>
  <si>
    <t xml:space="preserve">Còn mở: C-IMO-03/04/05 schema &amp; effective-dating, 07/08/09 hosting, licensing, khách tham chiếu</t>
  </si>
  <si>
    <t xml:space="preserve">P-01</t>
  </si>
  <si>
    <t xml:space="preserve">Bật Agent Experience EAP</t>
  </si>
  <si>
    <t xml:space="preserve">Điều kiện tiên quyết của cả bài thi</t>
  </si>
  <si>
    <t xml:space="preserve">Email Deniz Arin / Partner Manager (Lynn); nộp Tenant URL nếu chưa có</t>
  </si>
  <si>
    <t xml:space="preserve">Không có thì KHÔNG CÓ BÀI — việc gấp nhất</t>
  </si>
  <si>
    <t xml:space="preserve">P-02</t>
  </si>
  <si>
    <t xml:space="preserve">Chốt tên khách hàng tham chiếu</t>
  </si>
  <si>
    <t xml:space="preserve">Nghiệp vụ</t>
  </si>
  <si>
    <t xml:space="preserve">Tiêu chí 'real external customer' chấm nặng</t>
  </si>
  <si>
    <t xml:space="preserve">Có được nêu tên hãng bảo hiểm đang dùng BnK IDP không, hay dùng mô tả ẩn danh</t>
  </si>
  <si>
    <t xml:space="preserve">Cần sếp quyết — không sửa được bằng code</t>
  </si>
  <si>
    <t xml:space="preserve">P-03</t>
  </si>
  <si>
    <t xml:space="preserve">Che PII trong bộ chứng từ demo</t>
  </si>
  <si>
    <t xml:space="preserve">Nghiệp vụ · pháp lý</t>
  </si>
  <si>
    <t xml:space="preserve">File test hiện chứa họ tên, ngày sinh, số thẻ BHYT — phải ẩn danh hoàn toàn trước khi đưa lên tenant ODC hoặc chiếu cho OutSystems</t>
  </si>
  <si>
    <t xml:space="preserve">Vi phạm là có thể bị loại</t>
  </si>
  <si>
    <t xml:space="preserve">P-04</t>
  </si>
  <si>
    <t xml:space="preserve">Bộ ground-truth 10–20 chứng từ + XLSX</t>
  </si>
  <si>
    <t xml:space="preserve">Dữ liệu</t>
  </si>
  <si>
    <t xml:space="preserve">Chạy POST /request/compare để có số cho SC-02</t>
  </si>
  <si>
    <t xml:space="preserve">Hiện độ chính xác trích xuất vẫn ghi 'chưa đo'</t>
  </si>
  <si>
    <t xml:space="preserve">Giám khảo rất dễ hỏi 'AI đọc đúng bao nhiêu %'</t>
  </si>
  <si>
    <t xml:space="preserve">P-05</t>
  </si>
  <si>
    <t xml:space="preserve">Seed hợp đồng HC-STD/PLS/PRM + 4 hồ sơ mẫu</t>
  </si>
  <si>
    <t xml:space="preserve">Dữ liệu chạy demo A/B/C/D</t>
  </si>
  <si>
    <t xml:space="preserve">Theo quy tắc P-02</t>
  </si>
  <si>
    <t xml:space="preserve">P-06</t>
  </si>
  <si>
    <t xml:space="preserve">Chốt interim B-19 / B-20 / B-21</t>
  </si>
  <si>
    <t xml:space="preserve">Ba quyết định còn mở về tiền</t>
  </si>
  <si>
    <t xml:space="preserve">B-19 giảm trừ · B-20 thứ tự tiêu thụ trần · B-21 hạn mức pro-rata — cần chữ ký nghiệp vụ</t>
  </si>
  <si>
    <t xml:space="preserve">Chọn phương án tạm và ghi rõ trên hồ sơ là đủ cho hackathon</t>
  </si>
  <si>
    <t xml:space="preserve">P-07</t>
  </si>
  <si>
    <t xml:space="preserve">Roster B-07</t>
  </si>
  <si>
    <t xml:space="preserve">Tổ chức</t>
  </si>
  <si>
    <t xml:space="preserve">Ai giữ TERM_AUTHOR / TERM_APPROVE, ai trực điểm kiểm</t>
  </si>
  <si>
    <t xml:space="preserve">Người duyệt ≠ người thẩm định</t>
  </si>
  <si>
    <t xml:space="preserve">P-08</t>
  </si>
  <si>
    <t xml:space="preserve">Đội hình 3 người × 4 tuần</t>
  </si>
  <si>
    <t xml:space="preserve">Nguồn lực</t>
  </si>
  <si>
    <t xml:space="preserve">1 business + 2 SA/dev; tiếp tục sau 22/10 nếu vào pilot</t>
  </si>
  <si>
    <t xml:space="preserve">Đăng ký Technical Enablement 07/09</t>
  </si>
  <si>
    <t xml:space="preserve">Cần sếp cam kết</t>
  </si>
  <si>
    <t xml:space="preserve">P-09</t>
  </si>
  <si>
    <t xml:space="preserve">Ngân sách Claude license + tenant</t>
  </si>
  <si>
    <t xml:space="preserve">Công cụ cho đội kỹ thuật</t>
  </si>
  <si>
    <t xml:space="preserve">P-10</t>
  </si>
  <si>
    <t xml:space="preserve">Bản ghi JSON cho ReplayMode</t>
  </si>
  <si>
    <t xml:space="preserve">Kỹ thuật</t>
  </si>
  <si>
    <t xml:space="preserve">Dự phòng ngày demo</t>
  </si>
  <si>
    <t xml:space="preserve">Dùng JSON đã gọi thật ngày 03/09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</si>
</sst>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4F53"/>
      <name val="Arial"/>
      <family val="0"/>
      <charset val="1"/>
    </font>
    <font>
      <sz val="10"/>
      <color rgb="FF5B6B70"/>
      <name val="Arial"/>
      <family val="0"/>
      <charset val="1"/>
    </font>
    <font>
      <i val="true"/>
      <sz val="9"/>
      <color rgb="FF5B6B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B4F53"/>
      <name val="Arial"/>
      <family val="0"/>
      <charset val="1"/>
    </font>
    <font>
      <b val="true"/>
      <sz val="10"/>
      <color rgb="FF0B4F5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4F53"/>
        <bgColor rgb="FF333333"/>
      </patternFill>
    </fill>
    <fill>
      <patternFill patternType="solid">
        <fgColor rgb="FF0E7C7B"/>
        <bgColor rgb="FF008080"/>
      </patternFill>
    </fill>
    <fill>
      <patternFill patternType="solid">
        <fgColor rgb="FFF6FA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E3DF"/>
      </left>
      <right style="thin">
        <color rgb="FFCFE3DF"/>
      </right>
      <top style="thin">
        <color rgb="FFCFE3DF"/>
      </top>
      <bottom style="thin">
        <color rgb="FFCFE3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4F53"/>
          <bgColor rgb="FF000000"/>
        </patternFill>
      </fill>
    </dxf>
    <dxf>
      <fill>
        <patternFill patternType="solid">
          <fgColor rgb="FFF6FA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6FAF9"/>
      <rgbColor rgb="FFCCFFFF"/>
      <rgbColor rgb="FF660066"/>
      <rgbColor rgb="FFFF8080"/>
      <rgbColor rgb="FF0066CC"/>
      <rgbColor rgb="FFCFE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0"/>
      <rgbColor rgb="FF969696"/>
      <rgbColor rgb="FF0B4F5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4F53"/>
    <pageSetUpPr fitToPage="false"/>
  </sheetPr>
  <dimension ref="B2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52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customFormat="false" ht="23.85" hidden="false" customHeight="false" outlineLevel="0" collapsed="false">
      <c r="B7" s="5" t="s">
        <v>9</v>
      </c>
      <c r="C7" s="6" t="n">
        <f aca="false">COUNTA('OutSystems ODC'!$A$2:$A$200)</f>
        <v>38</v>
      </c>
      <c r="D7" s="6" t="n">
        <f aca="false">COUNTIF('OutSystems ODC'!$F$2:$F$200,"Bắt buộc")</f>
        <v>34</v>
      </c>
      <c r="E7" s="6" t="n">
        <f aca="false">COUNTIF('OutSystems ODC'!$F$2:$F$200,"Nên có")</f>
        <v>4</v>
      </c>
      <c r="F7" s="6" t="n">
        <f aca="false">COUNTIF('OutSystems ODC'!$F$2:$F$200,"Sau hackathon")</f>
        <v>0</v>
      </c>
      <c r="G7" s="7" t="s">
        <v>10</v>
      </c>
    </row>
    <row r="8" customFormat="false" ht="23.85" hidden="false" customHeight="false" outlineLevel="0" collapsed="false">
      <c r="B8" s="5" t="s">
        <v>11</v>
      </c>
      <c r="C8" s="6" t="n">
        <f aca="false">COUNTA('Agent Workbench'!$A$2:$A$200)</f>
        <v>12</v>
      </c>
      <c r="D8" s="6" t="n">
        <f aca="false">COUNTIF('Agent Workbench'!$F$2:$F$200,"Bắt buộc")</f>
        <v>10</v>
      </c>
      <c r="E8" s="6" t="n">
        <f aca="false">COUNTIF('Agent Workbench'!$F$2:$F$200,"Nên có")</f>
        <v>2</v>
      </c>
      <c r="F8" s="6" t="n">
        <f aca="false">COUNTIF('Agent Workbench'!$F$2:$F$200,"Sau hackathon")</f>
        <v>0</v>
      </c>
      <c r="G8" s="7" t="s">
        <v>12</v>
      </c>
    </row>
    <row r="9" customFormat="false" ht="23.85" hidden="false" customHeight="false" outlineLevel="0" collapsed="false">
      <c r="B9" s="5" t="s">
        <v>13</v>
      </c>
      <c r="C9" s="6" t="n">
        <f aca="false">COUNTA('BnK IDP'!$A$2:$A$200)</f>
        <v>20</v>
      </c>
      <c r="D9" s="6" t="n">
        <f aca="false">COUNTIF('BnK IDP'!$F$2:$F$200,"Bắt buộc")</f>
        <v>15</v>
      </c>
      <c r="E9" s="6" t="n">
        <f aca="false">COUNTIF('BnK IDP'!$F$2:$F$200,"Nên có")</f>
        <v>4</v>
      </c>
      <c r="F9" s="6" t="n">
        <f aca="false">COUNTIF('BnK IDP'!$F$2:$F$200,"Sau hackathon")</f>
        <v>1</v>
      </c>
      <c r="G9" s="7" t="s">
        <v>14</v>
      </c>
    </row>
    <row r="10" customFormat="false" ht="23.85" hidden="false" customHeight="false" outlineLevel="0" collapsed="false">
      <c r="B10" s="5" t="s">
        <v>15</v>
      </c>
      <c r="C10" s="6" t="n">
        <f aca="false">COUNTA(InsureMO!$A$2:$A$200)</f>
        <v>9</v>
      </c>
      <c r="D10" s="6" t="n">
        <f aca="false">COUNTIF(InsureMO!$F$2:$F$200,"Bắt buộc")</f>
        <v>5</v>
      </c>
      <c r="E10" s="6" t="n">
        <f aca="false">COUNTIF(InsureMO!$F$2:$F$200,"Nên có")</f>
        <v>1</v>
      </c>
      <c r="F10" s="6" t="n">
        <f aca="false">COUNTIF(InsureMO!$F$2:$F$200,"Sau hackathon")</f>
        <v>3</v>
      </c>
      <c r="G10" s="7" t="s">
        <v>16</v>
      </c>
    </row>
    <row r="11" customFormat="false" ht="23.85" hidden="false" customHeight="false" outlineLevel="0" collapsed="false">
      <c r="B11" s="5" t="s">
        <v>17</v>
      </c>
      <c r="C11" s="6" t="n">
        <f aca="false">COUNTA('Chuẩn bị &amp; Rủi ro'!$A$2:$A$200)</f>
        <v>10</v>
      </c>
      <c r="D11" s="6" t="n">
        <f aca="false">COUNTIF('Chuẩn bị &amp; Rủi ro'!$F$2:$F$200,"Bắt buộc")</f>
        <v>7</v>
      </c>
      <c r="E11" s="6" t="n">
        <f aca="false">COUNTIF('Chuẩn bị &amp; Rủi ro'!$F$2:$F$200,"Nên có")</f>
        <v>3</v>
      </c>
      <c r="F11" s="6" t="n">
        <f aca="false">COUNTIF('Chuẩn bị &amp; Rủi ro'!$F$2:$F$200,"Sau hackathon")</f>
        <v>0</v>
      </c>
      <c r="G11" s="7" t="s">
        <v>18</v>
      </c>
    </row>
    <row r="12" customFormat="false" ht="15" hidden="false" customHeight="false" outlineLevel="0" collapsed="false">
      <c r="B12" s="8" t="s">
        <v>19</v>
      </c>
      <c r="C12" s="9" t="n">
        <f aca="false">SUM(C7:C11)</f>
        <v>89</v>
      </c>
      <c r="D12" s="9" t="n">
        <f aca="false">SUM(D7:D11)</f>
        <v>71</v>
      </c>
      <c r="E12" s="9" t="n">
        <f aca="false">SUM(E7:E11)</f>
        <v>14</v>
      </c>
      <c r="F12" s="9" t="n">
        <f aca="false">SUM(F7:F11)</f>
        <v>4</v>
      </c>
      <c r="G12" s="8"/>
    </row>
    <row r="14" customFormat="false" ht="15" hidden="false" customHeight="false" outlineLevel="0" collapsed="false">
      <c r="B14" s="10" t="s">
        <v>20</v>
      </c>
    </row>
    <row r="15" customFormat="false" ht="31.5" hidden="false" customHeight="true" outlineLevel="0" collapsed="false">
      <c r="B15" s="11" t="s">
        <v>21</v>
      </c>
      <c r="C15" s="11"/>
      <c r="D15" s="11"/>
      <c r="E15" s="11"/>
      <c r="F15" s="11"/>
      <c r="G15" s="11"/>
    </row>
    <row r="16" customFormat="false" ht="31.5" hidden="false" customHeight="true" outlineLevel="0" collapsed="false">
      <c r="B16" s="11" t="s">
        <v>22</v>
      </c>
      <c r="C16" s="11"/>
      <c r="D16" s="11"/>
      <c r="E16" s="11"/>
      <c r="F16" s="11"/>
      <c r="G16" s="11"/>
    </row>
    <row r="17" customFormat="false" ht="31.5" hidden="false" customHeight="true" outlineLevel="0" collapsed="false">
      <c r="B17" s="11" t="s">
        <v>23</v>
      </c>
      <c r="C17" s="11"/>
      <c r="D17" s="11"/>
      <c r="E17" s="11"/>
      <c r="F17" s="11"/>
      <c r="G17" s="11"/>
    </row>
    <row r="18" customFormat="false" ht="31.5" hidden="false" customHeight="true" outlineLevel="0" collapsed="false">
      <c r="B18" s="11" t="s">
        <v>24</v>
      </c>
      <c r="C18" s="11"/>
      <c r="D18" s="11"/>
      <c r="E18" s="11"/>
      <c r="F18" s="11"/>
      <c r="G18" s="11"/>
    </row>
    <row r="19" customFormat="false" ht="31.5" hidden="false" customHeight="true" outlineLevel="0" collapsed="false">
      <c r="B19" s="11" t="s">
        <v>25</v>
      </c>
      <c r="C19" s="11"/>
      <c r="D19" s="11"/>
      <c r="E19" s="11"/>
      <c r="F19" s="11"/>
      <c r="G19" s="11"/>
    </row>
  </sheetData>
  <mergeCells count="5">
    <mergeCell ref="B15:G15"/>
    <mergeCell ref="B16:G16"/>
    <mergeCell ref="B17:G17"/>
    <mergeCell ref="B18:G18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4F53"/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42"/>
    <col collapsed="false" customWidth="true" hidden="false" outlineLevel="0" max="5" min="5" style="0" width="5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0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customFormat="false" ht="23.85" hidden="false" customHeight="false" outlineLevel="0" collapsed="false">
      <c r="A2" s="12" t="s">
        <v>35</v>
      </c>
      <c r="B2" s="13" t="s">
        <v>36</v>
      </c>
      <c r="C2" s="13" t="s">
        <v>37</v>
      </c>
      <c r="D2" s="13" t="s">
        <v>38</v>
      </c>
      <c r="E2" s="13" t="s">
        <v>39</v>
      </c>
      <c r="F2" s="14" t="s">
        <v>5</v>
      </c>
      <c r="G2" s="14" t="s">
        <v>40</v>
      </c>
      <c r="H2" s="13" t="s">
        <v>41</v>
      </c>
      <c r="I2" s="13"/>
    </row>
    <row r="3" customFormat="false" ht="23.85" hidden="false" customHeight="false" outlineLevel="0" collapsed="false">
      <c r="A3" s="15" t="s">
        <v>42</v>
      </c>
      <c r="B3" s="7" t="s">
        <v>43</v>
      </c>
      <c r="C3" s="7" t="s">
        <v>44</v>
      </c>
      <c r="D3" s="7" t="s">
        <v>45</v>
      </c>
      <c r="E3" s="7" t="s">
        <v>46</v>
      </c>
      <c r="F3" s="16" t="s">
        <v>5</v>
      </c>
      <c r="G3" s="16" t="s">
        <v>40</v>
      </c>
      <c r="H3" s="7" t="s">
        <v>47</v>
      </c>
      <c r="I3" s="7"/>
    </row>
    <row r="4" customFormat="false" ht="23.85" hidden="false" customHeight="false" outlineLevel="0" collapsed="false">
      <c r="A4" s="12" t="s">
        <v>48</v>
      </c>
      <c r="B4" s="13" t="s">
        <v>49</v>
      </c>
      <c r="C4" s="13" t="s">
        <v>37</v>
      </c>
      <c r="D4" s="13" t="s">
        <v>50</v>
      </c>
      <c r="E4" s="13" t="s">
        <v>51</v>
      </c>
      <c r="F4" s="14" t="s">
        <v>6</v>
      </c>
      <c r="G4" s="14" t="s">
        <v>40</v>
      </c>
      <c r="H4" s="13"/>
      <c r="I4" s="13"/>
    </row>
    <row r="5" customFormat="false" ht="23.85" hidden="false" customHeight="false" outlineLevel="0" collapsed="false">
      <c r="A5" s="15" t="s">
        <v>52</v>
      </c>
      <c r="B5" s="7" t="s">
        <v>53</v>
      </c>
      <c r="C5" s="7" t="s">
        <v>54</v>
      </c>
      <c r="D5" s="7" t="s">
        <v>55</v>
      </c>
      <c r="E5" s="7" t="s">
        <v>56</v>
      </c>
      <c r="F5" s="16" t="s">
        <v>5</v>
      </c>
      <c r="G5" s="16" t="s">
        <v>40</v>
      </c>
      <c r="H5" s="7"/>
      <c r="I5" s="7"/>
    </row>
    <row r="6" customFormat="false" ht="23.85" hidden="false" customHeight="false" outlineLevel="0" collapsed="false">
      <c r="A6" s="12" t="s">
        <v>57</v>
      </c>
      <c r="B6" s="13" t="s">
        <v>58</v>
      </c>
      <c r="C6" s="13" t="s">
        <v>54</v>
      </c>
      <c r="D6" s="13" t="s">
        <v>59</v>
      </c>
      <c r="E6" s="13" t="s">
        <v>60</v>
      </c>
      <c r="F6" s="14" t="s">
        <v>5</v>
      </c>
      <c r="G6" s="14" t="s">
        <v>40</v>
      </c>
      <c r="H6" s="13" t="s">
        <v>61</v>
      </c>
      <c r="I6" s="13"/>
    </row>
    <row r="7" customFormat="false" ht="23.85" hidden="false" customHeight="false" outlineLevel="0" collapsed="false">
      <c r="A7" s="15" t="s">
        <v>62</v>
      </c>
      <c r="B7" s="7" t="s">
        <v>63</v>
      </c>
      <c r="C7" s="7" t="s">
        <v>64</v>
      </c>
      <c r="D7" s="7" t="s">
        <v>65</v>
      </c>
      <c r="E7" s="7" t="s">
        <v>66</v>
      </c>
      <c r="F7" s="16" t="s">
        <v>5</v>
      </c>
      <c r="G7" s="16" t="s">
        <v>40</v>
      </c>
      <c r="H7" s="7"/>
      <c r="I7" s="7"/>
    </row>
    <row r="8" customFormat="false" ht="23.85" hidden="false" customHeight="false" outlineLevel="0" collapsed="false">
      <c r="A8" s="12" t="s">
        <v>67</v>
      </c>
      <c r="B8" s="13" t="s">
        <v>68</v>
      </c>
      <c r="C8" s="13" t="s">
        <v>69</v>
      </c>
      <c r="D8" s="13" t="s">
        <v>70</v>
      </c>
      <c r="E8" s="13" t="s">
        <v>71</v>
      </c>
      <c r="F8" s="14" t="s">
        <v>5</v>
      </c>
      <c r="G8" s="14" t="s">
        <v>40</v>
      </c>
      <c r="H8" s="13" t="s">
        <v>72</v>
      </c>
      <c r="I8" s="13"/>
    </row>
    <row r="9" customFormat="false" ht="15" hidden="false" customHeight="false" outlineLevel="0" collapsed="false">
      <c r="A9" s="15" t="s">
        <v>73</v>
      </c>
      <c r="B9" s="7" t="s">
        <v>74</v>
      </c>
      <c r="C9" s="7" t="s">
        <v>64</v>
      </c>
      <c r="D9" s="7" t="s">
        <v>75</v>
      </c>
      <c r="E9" s="7" t="s">
        <v>76</v>
      </c>
      <c r="F9" s="16" t="s">
        <v>5</v>
      </c>
      <c r="G9" s="16" t="s">
        <v>40</v>
      </c>
      <c r="H9" s="7"/>
      <c r="I9" s="7"/>
    </row>
    <row r="10" customFormat="false" ht="23.85" hidden="false" customHeight="false" outlineLevel="0" collapsed="false">
      <c r="A10" s="12" t="s">
        <v>77</v>
      </c>
      <c r="B10" s="13" t="s">
        <v>78</v>
      </c>
      <c r="C10" s="13" t="s">
        <v>79</v>
      </c>
      <c r="D10" s="13" t="s">
        <v>80</v>
      </c>
      <c r="E10" s="13" t="s">
        <v>81</v>
      </c>
      <c r="F10" s="14" t="s">
        <v>5</v>
      </c>
      <c r="G10" s="14" t="s">
        <v>40</v>
      </c>
      <c r="H10" s="13"/>
      <c r="I10" s="13"/>
    </row>
    <row r="11" customFormat="false" ht="23.85" hidden="false" customHeight="false" outlineLevel="0" collapsed="false">
      <c r="A11" s="15" t="s">
        <v>82</v>
      </c>
      <c r="B11" s="7" t="s">
        <v>83</v>
      </c>
      <c r="C11" s="7" t="s">
        <v>79</v>
      </c>
      <c r="D11" s="7" t="s">
        <v>84</v>
      </c>
      <c r="E11" s="7" t="s">
        <v>85</v>
      </c>
      <c r="F11" s="16" t="s">
        <v>5</v>
      </c>
      <c r="G11" s="16" t="s">
        <v>40</v>
      </c>
      <c r="H11" s="7"/>
      <c r="I11" s="7"/>
    </row>
    <row r="12" customFormat="false" ht="15" hidden="false" customHeight="false" outlineLevel="0" collapsed="false">
      <c r="A12" s="12" t="s">
        <v>86</v>
      </c>
      <c r="B12" s="13" t="s">
        <v>87</v>
      </c>
      <c r="C12" s="13" t="s">
        <v>88</v>
      </c>
      <c r="D12" s="13" t="s">
        <v>89</v>
      </c>
      <c r="E12" s="13" t="s">
        <v>90</v>
      </c>
      <c r="F12" s="14" t="s">
        <v>5</v>
      </c>
      <c r="G12" s="14" t="s">
        <v>40</v>
      </c>
      <c r="H12" s="13"/>
      <c r="I12" s="13"/>
    </row>
    <row r="13" customFormat="false" ht="23.85" hidden="false" customHeight="false" outlineLevel="0" collapsed="false">
      <c r="A13" s="15" t="s">
        <v>91</v>
      </c>
      <c r="B13" s="7" t="s">
        <v>92</v>
      </c>
      <c r="C13" s="7" t="s">
        <v>88</v>
      </c>
      <c r="D13" s="7" t="s">
        <v>93</v>
      </c>
      <c r="E13" s="7" t="s">
        <v>94</v>
      </c>
      <c r="F13" s="16" t="s">
        <v>5</v>
      </c>
      <c r="G13" s="16" t="s">
        <v>40</v>
      </c>
      <c r="H13" s="7"/>
      <c r="I13" s="7"/>
    </row>
    <row r="14" customFormat="false" ht="15" hidden="false" customHeight="false" outlineLevel="0" collapsed="false">
      <c r="A14" s="12" t="s">
        <v>95</v>
      </c>
      <c r="B14" s="13" t="s">
        <v>96</v>
      </c>
      <c r="C14" s="13" t="s">
        <v>88</v>
      </c>
      <c r="D14" s="13" t="s">
        <v>97</v>
      </c>
      <c r="E14" s="13" t="s">
        <v>98</v>
      </c>
      <c r="F14" s="14" t="s">
        <v>5</v>
      </c>
      <c r="G14" s="14" t="s">
        <v>40</v>
      </c>
      <c r="H14" s="13" t="s">
        <v>99</v>
      </c>
      <c r="I14" s="13"/>
    </row>
    <row r="15" customFormat="false" ht="15" hidden="false" customHeight="false" outlineLevel="0" collapsed="false">
      <c r="A15" s="15" t="s">
        <v>100</v>
      </c>
      <c r="B15" s="7" t="s">
        <v>101</v>
      </c>
      <c r="C15" s="7" t="s">
        <v>88</v>
      </c>
      <c r="D15" s="7" t="s">
        <v>102</v>
      </c>
      <c r="E15" s="7" t="s">
        <v>103</v>
      </c>
      <c r="F15" s="16" t="s">
        <v>5</v>
      </c>
      <c r="G15" s="16" t="s">
        <v>40</v>
      </c>
      <c r="H15" s="7"/>
      <c r="I15" s="7"/>
    </row>
    <row r="16" customFormat="false" ht="23.85" hidden="false" customHeight="false" outlineLevel="0" collapsed="false">
      <c r="A16" s="12" t="s">
        <v>104</v>
      </c>
      <c r="B16" s="13" t="s">
        <v>105</v>
      </c>
      <c r="C16" s="13" t="s">
        <v>88</v>
      </c>
      <c r="D16" s="13" t="s">
        <v>106</v>
      </c>
      <c r="E16" s="13" t="s">
        <v>107</v>
      </c>
      <c r="F16" s="14" t="s">
        <v>5</v>
      </c>
      <c r="G16" s="14" t="s">
        <v>40</v>
      </c>
      <c r="H16" s="13" t="s">
        <v>108</v>
      </c>
      <c r="I16" s="13"/>
    </row>
    <row r="17" customFormat="false" ht="15" hidden="false" customHeight="false" outlineLevel="0" collapsed="false">
      <c r="A17" s="15" t="s">
        <v>109</v>
      </c>
      <c r="B17" s="7" t="s">
        <v>110</v>
      </c>
      <c r="C17" s="7" t="s">
        <v>88</v>
      </c>
      <c r="D17" s="7" t="s">
        <v>111</v>
      </c>
      <c r="E17" s="7" t="s">
        <v>112</v>
      </c>
      <c r="F17" s="16" t="s">
        <v>5</v>
      </c>
      <c r="G17" s="16" t="s">
        <v>40</v>
      </c>
      <c r="H17" s="7"/>
      <c r="I17" s="7"/>
    </row>
    <row r="18" customFormat="false" ht="15" hidden="false" customHeight="false" outlineLevel="0" collapsed="false">
      <c r="A18" s="12" t="s">
        <v>113</v>
      </c>
      <c r="B18" s="13" t="s">
        <v>114</v>
      </c>
      <c r="C18" s="13" t="s">
        <v>88</v>
      </c>
      <c r="D18" s="13" t="s">
        <v>115</v>
      </c>
      <c r="E18" s="13" t="s">
        <v>116</v>
      </c>
      <c r="F18" s="14" t="s">
        <v>5</v>
      </c>
      <c r="G18" s="14" t="s">
        <v>40</v>
      </c>
      <c r="H18" s="13"/>
      <c r="I18" s="13"/>
    </row>
    <row r="19" customFormat="false" ht="23.85" hidden="false" customHeight="false" outlineLevel="0" collapsed="false">
      <c r="A19" s="15" t="s">
        <v>117</v>
      </c>
      <c r="B19" s="7" t="s">
        <v>118</v>
      </c>
      <c r="C19" s="7" t="s">
        <v>88</v>
      </c>
      <c r="D19" s="7" t="s">
        <v>119</v>
      </c>
      <c r="E19" s="7" t="s">
        <v>120</v>
      </c>
      <c r="F19" s="16" t="s">
        <v>5</v>
      </c>
      <c r="G19" s="16" t="s">
        <v>40</v>
      </c>
      <c r="H19" s="7" t="s">
        <v>121</v>
      </c>
      <c r="I19" s="7"/>
    </row>
    <row r="20" customFormat="false" ht="23.85" hidden="false" customHeight="false" outlineLevel="0" collapsed="false">
      <c r="A20" s="12" t="s">
        <v>122</v>
      </c>
      <c r="B20" s="13" t="s">
        <v>123</v>
      </c>
      <c r="C20" s="13" t="s">
        <v>88</v>
      </c>
      <c r="D20" s="13" t="s">
        <v>124</v>
      </c>
      <c r="E20" s="13" t="s">
        <v>125</v>
      </c>
      <c r="F20" s="14" t="s">
        <v>5</v>
      </c>
      <c r="G20" s="14" t="s">
        <v>40</v>
      </c>
      <c r="H20" s="13" t="s">
        <v>126</v>
      </c>
      <c r="I20" s="13"/>
    </row>
    <row r="21" customFormat="false" ht="23.85" hidden="false" customHeight="false" outlineLevel="0" collapsed="false">
      <c r="A21" s="15" t="s">
        <v>127</v>
      </c>
      <c r="B21" s="7" t="s">
        <v>128</v>
      </c>
      <c r="C21" s="7" t="s">
        <v>88</v>
      </c>
      <c r="D21" s="7" t="s">
        <v>129</v>
      </c>
      <c r="E21" s="7" t="s">
        <v>130</v>
      </c>
      <c r="F21" s="16" t="s">
        <v>5</v>
      </c>
      <c r="G21" s="16" t="s">
        <v>40</v>
      </c>
      <c r="H21" s="7" t="s">
        <v>131</v>
      </c>
      <c r="I21" s="7"/>
    </row>
    <row r="22" customFormat="false" ht="23.85" hidden="false" customHeight="false" outlineLevel="0" collapsed="false">
      <c r="A22" s="12" t="s">
        <v>132</v>
      </c>
      <c r="B22" s="13" t="s">
        <v>133</v>
      </c>
      <c r="C22" s="13" t="s">
        <v>88</v>
      </c>
      <c r="D22" s="13" t="s">
        <v>134</v>
      </c>
      <c r="E22" s="13" t="s">
        <v>135</v>
      </c>
      <c r="F22" s="14" t="s">
        <v>5</v>
      </c>
      <c r="G22" s="14" t="s">
        <v>40</v>
      </c>
      <c r="H22" s="13"/>
      <c r="I22" s="13"/>
    </row>
    <row r="23" customFormat="false" ht="15" hidden="false" customHeight="false" outlineLevel="0" collapsed="false">
      <c r="A23" s="15" t="s">
        <v>136</v>
      </c>
      <c r="B23" s="7" t="s">
        <v>137</v>
      </c>
      <c r="C23" s="7" t="s">
        <v>88</v>
      </c>
      <c r="D23" s="7" t="s">
        <v>138</v>
      </c>
      <c r="E23" s="7" t="s">
        <v>139</v>
      </c>
      <c r="F23" s="16" t="s">
        <v>6</v>
      </c>
      <c r="G23" s="16" t="s">
        <v>40</v>
      </c>
      <c r="H23" s="7"/>
      <c r="I23" s="7"/>
    </row>
    <row r="24" customFormat="false" ht="23.85" hidden="false" customHeight="false" outlineLevel="0" collapsed="false">
      <c r="A24" s="12" t="s">
        <v>140</v>
      </c>
      <c r="B24" s="13" t="s">
        <v>141</v>
      </c>
      <c r="C24" s="13" t="s">
        <v>142</v>
      </c>
      <c r="D24" s="13" t="s">
        <v>143</v>
      </c>
      <c r="E24" s="13" t="s">
        <v>144</v>
      </c>
      <c r="F24" s="14" t="s">
        <v>5</v>
      </c>
      <c r="G24" s="14" t="s">
        <v>40</v>
      </c>
      <c r="H24" s="13"/>
      <c r="I24" s="13"/>
    </row>
    <row r="25" customFormat="false" ht="23.85" hidden="false" customHeight="false" outlineLevel="0" collapsed="false">
      <c r="A25" s="15" t="s">
        <v>145</v>
      </c>
      <c r="B25" s="7" t="s">
        <v>146</v>
      </c>
      <c r="C25" s="7" t="s">
        <v>142</v>
      </c>
      <c r="D25" s="7" t="s">
        <v>147</v>
      </c>
      <c r="E25" s="7" t="s">
        <v>148</v>
      </c>
      <c r="F25" s="16" t="s">
        <v>5</v>
      </c>
      <c r="G25" s="16" t="s">
        <v>40</v>
      </c>
      <c r="H25" s="7" t="s">
        <v>149</v>
      </c>
      <c r="I25" s="7"/>
    </row>
    <row r="26" customFormat="false" ht="23.85" hidden="false" customHeight="false" outlineLevel="0" collapsed="false">
      <c r="A26" s="12" t="s">
        <v>150</v>
      </c>
      <c r="B26" s="13" t="s">
        <v>151</v>
      </c>
      <c r="C26" s="13" t="s">
        <v>142</v>
      </c>
      <c r="D26" s="13" t="s">
        <v>152</v>
      </c>
      <c r="E26" s="13" t="s">
        <v>153</v>
      </c>
      <c r="F26" s="14" t="s">
        <v>5</v>
      </c>
      <c r="G26" s="14" t="s">
        <v>40</v>
      </c>
      <c r="H26" s="13"/>
      <c r="I26" s="13"/>
    </row>
    <row r="27" customFormat="false" ht="15" hidden="false" customHeight="false" outlineLevel="0" collapsed="false">
      <c r="A27" s="15" t="s">
        <v>154</v>
      </c>
      <c r="B27" s="7" t="s">
        <v>155</v>
      </c>
      <c r="C27" s="7" t="s">
        <v>142</v>
      </c>
      <c r="D27" s="7" t="s">
        <v>156</v>
      </c>
      <c r="E27" s="7" t="s">
        <v>157</v>
      </c>
      <c r="F27" s="16" t="s">
        <v>5</v>
      </c>
      <c r="G27" s="16" t="s">
        <v>40</v>
      </c>
      <c r="H27" s="7"/>
      <c r="I27" s="7"/>
    </row>
    <row r="28" customFormat="false" ht="23.85" hidden="false" customHeight="false" outlineLevel="0" collapsed="false">
      <c r="A28" s="12" t="s">
        <v>158</v>
      </c>
      <c r="B28" s="13" t="s">
        <v>159</v>
      </c>
      <c r="C28" s="13" t="s">
        <v>142</v>
      </c>
      <c r="D28" s="13" t="s">
        <v>160</v>
      </c>
      <c r="E28" s="13" t="s">
        <v>161</v>
      </c>
      <c r="F28" s="14" t="s">
        <v>5</v>
      </c>
      <c r="G28" s="14" t="s">
        <v>40</v>
      </c>
      <c r="H28" s="13"/>
      <c r="I28" s="13"/>
    </row>
    <row r="29" customFormat="false" ht="15" hidden="false" customHeight="false" outlineLevel="0" collapsed="false">
      <c r="A29" s="15" t="s">
        <v>162</v>
      </c>
      <c r="B29" s="7" t="s">
        <v>163</v>
      </c>
      <c r="C29" s="7" t="s">
        <v>142</v>
      </c>
      <c r="D29" s="7" t="s">
        <v>164</v>
      </c>
      <c r="E29" s="7" t="s">
        <v>165</v>
      </c>
      <c r="F29" s="16" t="s">
        <v>5</v>
      </c>
      <c r="G29" s="16" t="s">
        <v>40</v>
      </c>
      <c r="H29" s="7"/>
      <c r="I29" s="7"/>
    </row>
    <row r="30" customFormat="false" ht="15" hidden="false" customHeight="false" outlineLevel="0" collapsed="false">
      <c r="A30" s="12" t="s">
        <v>166</v>
      </c>
      <c r="B30" s="13" t="s">
        <v>167</v>
      </c>
      <c r="C30" s="13" t="s">
        <v>142</v>
      </c>
      <c r="D30" s="13" t="s">
        <v>168</v>
      </c>
      <c r="E30" s="13" t="s">
        <v>169</v>
      </c>
      <c r="F30" s="14" t="s">
        <v>5</v>
      </c>
      <c r="G30" s="14" t="s">
        <v>40</v>
      </c>
      <c r="H30" s="13"/>
      <c r="I30" s="13"/>
    </row>
    <row r="31" customFormat="false" ht="15" hidden="false" customHeight="false" outlineLevel="0" collapsed="false">
      <c r="A31" s="15" t="s">
        <v>170</v>
      </c>
      <c r="B31" s="7" t="s">
        <v>171</v>
      </c>
      <c r="C31" s="7" t="s">
        <v>142</v>
      </c>
      <c r="D31" s="7" t="s">
        <v>172</v>
      </c>
      <c r="E31" s="7" t="s">
        <v>173</v>
      </c>
      <c r="F31" s="16" t="s">
        <v>5</v>
      </c>
      <c r="G31" s="16" t="s">
        <v>40</v>
      </c>
      <c r="H31" s="7"/>
      <c r="I31" s="7"/>
    </row>
    <row r="32" customFormat="false" ht="23.85" hidden="false" customHeight="false" outlineLevel="0" collapsed="false">
      <c r="A32" s="12" t="s">
        <v>174</v>
      </c>
      <c r="B32" s="13" t="s">
        <v>175</v>
      </c>
      <c r="C32" s="13" t="s">
        <v>142</v>
      </c>
      <c r="D32" s="13" t="s">
        <v>176</v>
      </c>
      <c r="E32" s="13" t="s">
        <v>177</v>
      </c>
      <c r="F32" s="14" t="s">
        <v>5</v>
      </c>
      <c r="G32" s="14" t="s">
        <v>40</v>
      </c>
      <c r="H32" s="13" t="s">
        <v>178</v>
      </c>
      <c r="I32" s="13"/>
    </row>
    <row r="33" customFormat="false" ht="23.85" hidden="false" customHeight="false" outlineLevel="0" collapsed="false">
      <c r="A33" s="15" t="s">
        <v>179</v>
      </c>
      <c r="B33" s="7" t="s">
        <v>180</v>
      </c>
      <c r="C33" s="7" t="s">
        <v>181</v>
      </c>
      <c r="D33" s="7" t="s">
        <v>182</v>
      </c>
      <c r="E33" s="7" t="s">
        <v>183</v>
      </c>
      <c r="F33" s="16" t="s">
        <v>5</v>
      </c>
      <c r="G33" s="16" t="s">
        <v>40</v>
      </c>
      <c r="H33" s="7" t="s">
        <v>184</v>
      </c>
      <c r="I33" s="7"/>
    </row>
    <row r="34" customFormat="false" ht="15" hidden="false" customHeight="false" outlineLevel="0" collapsed="false">
      <c r="A34" s="12" t="s">
        <v>185</v>
      </c>
      <c r="B34" s="13" t="s">
        <v>186</v>
      </c>
      <c r="C34" s="13" t="s">
        <v>187</v>
      </c>
      <c r="D34" s="13" t="s">
        <v>188</v>
      </c>
      <c r="E34" s="13" t="s">
        <v>189</v>
      </c>
      <c r="F34" s="14" t="s">
        <v>5</v>
      </c>
      <c r="G34" s="14" t="s">
        <v>40</v>
      </c>
      <c r="H34" s="13"/>
      <c r="I34" s="13"/>
    </row>
    <row r="35" customFormat="false" ht="35.05" hidden="false" customHeight="false" outlineLevel="0" collapsed="false">
      <c r="A35" s="15" t="s">
        <v>190</v>
      </c>
      <c r="B35" s="7" t="s">
        <v>191</v>
      </c>
      <c r="C35" s="7" t="s">
        <v>187</v>
      </c>
      <c r="D35" s="7" t="s">
        <v>192</v>
      </c>
      <c r="E35" s="7" t="s">
        <v>193</v>
      </c>
      <c r="F35" s="16" t="s">
        <v>5</v>
      </c>
      <c r="G35" s="16" t="s">
        <v>40</v>
      </c>
      <c r="H35" s="7"/>
      <c r="I35" s="7"/>
    </row>
    <row r="36" customFormat="false" ht="23.85" hidden="false" customHeight="false" outlineLevel="0" collapsed="false">
      <c r="A36" s="12" t="s">
        <v>194</v>
      </c>
      <c r="B36" s="13" t="s">
        <v>195</v>
      </c>
      <c r="C36" s="13" t="s">
        <v>187</v>
      </c>
      <c r="D36" s="13" t="s">
        <v>196</v>
      </c>
      <c r="E36" s="13"/>
      <c r="F36" s="14" t="s">
        <v>6</v>
      </c>
      <c r="G36" s="14" t="s">
        <v>40</v>
      </c>
      <c r="H36" s="13"/>
      <c r="I36" s="13"/>
    </row>
    <row r="37" customFormat="false" ht="35.05" hidden="false" customHeight="false" outlineLevel="0" collapsed="false">
      <c r="A37" s="15" t="s">
        <v>197</v>
      </c>
      <c r="B37" s="7" t="s">
        <v>198</v>
      </c>
      <c r="C37" s="7" t="s">
        <v>187</v>
      </c>
      <c r="D37" s="7" t="s">
        <v>199</v>
      </c>
      <c r="E37" s="7"/>
      <c r="F37" s="16" t="s">
        <v>6</v>
      </c>
      <c r="G37" s="16" t="s">
        <v>40</v>
      </c>
      <c r="H37" s="7"/>
      <c r="I37" s="7"/>
    </row>
    <row r="38" customFormat="false" ht="23.85" hidden="false" customHeight="false" outlineLevel="0" collapsed="false">
      <c r="A38" s="12" t="s">
        <v>200</v>
      </c>
      <c r="B38" s="13" t="s">
        <v>201</v>
      </c>
      <c r="C38" s="13" t="s">
        <v>187</v>
      </c>
      <c r="D38" s="13" t="s">
        <v>202</v>
      </c>
      <c r="E38" s="13" t="s">
        <v>203</v>
      </c>
      <c r="F38" s="14" t="s">
        <v>5</v>
      </c>
      <c r="G38" s="14" t="s">
        <v>40</v>
      </c>
      <c r="H38" s="13"/>
      <c r="I38" s="13"/>
    </row>
    <row r="39" customFormat="false" ht="15" hidden="false" customHeight="false" outlineLevel="0" collapsed="false">
      <c r="A39" s="15" t="s">
        <v>204</v>
      </c>
      <c r="B39" s="7" t="s">
        <v>205</v>
      </c>
      <c r="C39" s="7" t="s">
        <v>187</v>
      </c>
      <c r="D39" s="7" t="s">
        <v>206</v>
      </c>
      <c r="E39" s="7" t="s">
        <v>207</v>
      </c>
      <c r="F39" s="16" t="s">
        <v>5</v>
      </c>
      <c r="G39" s="16" t="s">
        <v>40</v>
      </c>
      <c r="H39" s="7"/>
      <c r="I39" s="7"/>
    </row>
  </sheetData>
  <autoFilter ref="A1:I39"/>
  <dataValidations count="2">
    <dataValidation allowBlank="true" errorStyle="stop" operator="between" showDropDown="false" showErrorMessage="false" showInputMessage="false" sqref="F2:F39" type="list">
      <formula1>"Bắt buộc,Nên có,Sau hackathon"</formula1>
      <formula2>0</formula2>
    </dataValidation>
    <dataValidation allowBlank="true" errorStyle="stop" operator="between" showDropDown="false" showErrorMessage="false" showInputMessage="false" sqref="G2:G39" type="list">
      <formula1>"Chưa bắt đầu,Đang làm,Xong,Đã rõ,Provisional,Không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4F53"/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42"/>
    <col collapsed="false" customWidth="true" hidden="false" outlineLevel="0" max="5" min="5" style="0" width="5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0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customFormat="false" ht="35.05" hidden="false" customHeight="false" outlineLevel="0" collapsed="false">
      <c r="A2" s="12" t="s">
        <v>208</v>
      </c>
      <c r="B2" s="13" t="s">
        <v>209</v>
      </c>
      <c r="C2" s="13" t="s">
        <v>210</v>
      </c>
      <c r="D2" s="13" t="s">
        <v>211</v>
      </c>
      <c r="E2" s="13" t="s">
        <v>212</v>
      </c>
      <c r="F2" s="14" t="s">
        <v>5</v>
      </c>
      <c r="G2" s="14" t="s">
        <v>40</v>
      </c>
      <c r="H2" s="13" t="s">
        <v>213</v>
      </c>
      <c r="I2" s="13"/>
    </row>
    <row r="3" customFormat="false" ht="23.85" hidden="false" customHeight="false" outlineLevel="0" collapsed="false">
      <c r="A3" s="15" t="s">
        <v>214</v>
      </c>
      <c r="B3" s="7" t="s">
        <v>215</v>
      </c>
      <c r="C3" s="7" t="s">
        <v>216</v>
      </c>
      <c r="D3" s="7" t="s">
        <v>217</v>
      </c>
      <c r="E3" s="7" t="s">
        <v>218</v>
      </c>
      <c r="F3" s="16" t="s">
        <v>5</v>
      </c>
      <c r="G3" s="16" t="s">
        <v>40</v>
      </c>
      <c r="H3" s="7" t="s">
        <v>219</v>
      </c>
      <c r="I3" s="7"/>
    </row>
    <row r="4" customFormat="false" ht="23.85" hidden="false" customHeight="false" outlineLevel="0" collapsed="false">
      <c r="A4" s="12" t="s">
        <v>220</v>
      </c>
      <c r="B4" s="13" t="s">
        <v>221</v>
      </c>
      <c r="C4" s="13" t="s">
        <v>222</v>
      </c>
      <c r="D4" s="13" t="s">
        <v>223</v>
      </c>
      <c r="E4" s="13" t="s">
        <v>224</v>
      </c>
      <c r="F4" s="14" t="s">
        <v>5</v>
      </c>
      <c r="G4" s="14" t="s">
        <v>40</v>
      </c>
      <c r="H4" s="13"/>
      <c r="I4" s="13"/>
    </row>
    <row r="5" customFormat="false" ht="23.85" hidden="false" customHeight="false" outlineLevel="0" collapsed="false">
      <c r="A5" s="15" t="s">
        <v>225</v>
      </c>
      <c r="B5" s="7" t="s">
        <v>226</v>
      </c>
      <c r="C5" s="7" t="s">
        <v>222</v>
      </c>
      <c r="D5" s="7" t="s">
        <v>227</v>
      </c>
      <c r="E5" s="7" t="s">
        <v>228</v>
      </c>
      <c r="F5" s="16" t="s">
        <v>5</v>
      </c>
      <c r="G5" s="16" t="s">
        <v>40</v>
      </c>
      <c r="H5" s="7"/>
      <c r="I5" s="7"/>
    </row>
    <row r="6" customFormat="false" ht="46.25" hidden="false" customHeight="false" outlineLevel="0" collapsed="false">
      <c r="A6" s="12" t="s">
        <v>229</v>
      </c>
      <c r="B6" s="13" t="s">
        <v>230</v>
      </c>
      <c r="C6" s="13" t="s">
        <v>222</v>
      </c>
      <c r="D6" s="13" t="s">
        <v>231</v>
      </c>
      <c r="E6" s="13" t="s">
        <v>232</v>
      </c>
      <c r="F6" s="14" t="s">
        <v>5</v>
      </c>
      <c r="G6" s="14" t="s">
        <v>40</v>
      </c>
      <c r="H6" s="13" t="s">
        <v>233</v>
      </c>
      <c r="I6" s="13"/>
    </row>
    <row r="7" customFormat="false" ht="23.85" hidden="false" customHeight="false" outlineLevel="0" collapsed="false">
      <c r="A7" s="15" t="s">
        <v>234</v>
      </c>
      <c r="B7" s="7" t="s">
        <v>235</v>
      </c>
      <c r="C7" s="7" t="s">
        <v>222</v>
      </c>
      <c r="D7" s="7" t="s">
        <v>236</v>
      </c>
      <c r="E7" s="7" t="s">
        <v>237</v>
      </c>
      <c r="F7" s="16" t="s">
        <v>5</v>
      </c>
      <c r="G7" s="16" t="s">
        <v>40</v>
      </c>
      <c r="H7" s="7"/>
      <c r="I7" s="7"/>
    </row>
    <row r="8" customFormat="false" ht="15" hidden="false" customHeight="false" outlineLevel="0" collapsed="false">
      <c r="A8" s="12" t="s">
        <v>238</v>
      </c>
      <c r="B8" s="13" t="s">
        <v>239</v>
      </c>
      <c r="C8" s="13" t="s">
        <v>222</v>
      </c>
      <c r="D8" s="13" t="s">
        <v>240</v>
      </c>
      <c r="E8" s="13" t="s">
        <v>241</v>
      </c>
      <c r="F8" s="14" t="s">
        <v>6</v>
      </c>
      <c r="G8" s="14" t="s">
        <v>40</v>
      </c>
      <c r="H8" s="13" t="s">
        <v>242</v>
      </c>
      <c r="I8" s="13"/>
    </row>
    <row r="9" customFormat="false" ht="23.85" hidden="false" customHeight="false" outlineLevel="0" collapsed="false">
      <c r="A9" s="15" t="s">
        <v>243</v>
      </c>
      <c r="B9" s="7" t="s">
        <v>244</v>
      </c>
      <c r="C9" s="7" t="s">
        <v>245</v>
      </c>
      <c r="D9" s="7" t="s">
        <v>246</v>
      </c>
      <c r="E9" s="7" t="s">
        <v>247</v>
      </c>
      <c r="F9" s="16" t="s">
        <v>5</v>
      </c>
      <c r="G9" s="16" t="s">
        <v>40</v>
      </c>
      <c r="H9" s="7" t="s">
        <v>248</v>
      </c>
      <c r="I9" s="7"/>
    </row>
    <row r="10" customFormat="false" ht="23.85" hidden="false" customHeight="false" outlineLevel="0" collapsed="false">
      <c r="A10" s="12" t="s">
        <v>249</v>
      </c>
      <c r="B10" s="13" t="s">
        <v>250</v>
      </c>
      <c r="C10" s="13" t="s">
        <v>251</v>
      </c>
      <c r="D10" s="13" t="s">
        <v>252</v>
      </c>
      <c r="E10" s="13" t="s">
        <v>253</v>
      </c>
      <c r="F10" s="14" t="s">
        <v>5</v>
      </c>
      <c r="G10" s="14" t="s">
        <v>40</v>
      </c>
      <c r="H10" s="13" t="s">
        <v>254</v>
      </c>
      <c r="I10" s="13"/>
    </row>
    <row r="11" customFormat="false" ht="23.85" hidden="false" customHeight="false" outlineLevel="0" collapsed="false">
      <c r="A11" s="15" t="s">
        <v>255</v>
      </c>
      <c r="B11" s="7" t="s">
        <v>256</v>
      </c>
      <c r="C11" s="7" t="s">
        <v>257</v>
      </c>
      <c r="D11" s="7" t="s">
        <v>258</v>
      </c>
      <c r="E11" s="7" t="s">
        <v>259</v>
      </c>
      <c r="F11" s="16" t="s">
        <v>5</v>
      </c>
      <c r="G11" s="16" t="s">
        <v>40</v>
      </c>
      <c r="H11" s="7"/>
      <c r="I11" s="7"/>
    </row>
    <row r="12" customFormat="false" ht="23.85" hidden="false" customHeight="false" outlineLevel="0" collapsed="false">
      <c r="A12" s="12" t="s">
        <v>260</v>
      </c>
      <c r="B12" s="13" t="s">
        <v>261</v>
      </c>
      <c r="C12" s="13" t="s">
        <v>262</v>
      </c>
      <c r="D12" s="13" t="s">
        <v>263</v>
      </c>
      <c r="E12" s="13" t="s">
        <v>264</v>
      </c>
      <c r="F12" s="14" t="s">
        <v>5</v>
      </c>
      <c r="G12" s="14" t="s">
        <v>40</v>
      </c>
      <c r="H12" s="13" t="s">
        <v>265</v>
      </c>
      <c r="I12" s="13"/>
    </row>
    <row r="13" customFormat="false" ht="15" hidden="false" customHeight="false" outlineLevel="0" collapsed="false">
      <c r="A13" s="15" t="s">
        <v>266</v>
      </c>
      <c r="B13" s="7" t="s">
        <v>267</v>
      </c>
      <c r="C13" s="7" t="s">
        <v>268</v>
      </c>
      <c r="D13" s="7" t="s">
        <v>269</v>
      </c>
      <c r="E13" s="7" t="s">
        <v>270</v>
      </c>
      <c r="F13" s="16" t="s">
        <v>6</v>
      </c>
      <c r="G13" s="16" t="s">
        <v>40</v>
      </c>
      <c r="H13" s="7" t="s">
        <v>271</v>
      </c>
      <c r="I13" s="7"/>
    </row>
  </sheetData>
  <autoFilter ref="A1:I13"/>
  <dataValidations count="2">
    <dataValidation allowBlank="true" errorStyle="stop" operator="between" showDropDown="false" showErrorMessage="false" showInputMessage="false" sqref="F2:F13" type="list">
      <formula1>"Bắt buộc,Nên có,Sau hackathon"</formula1>
      <formula2>0</formula2>
    </dataValidation>
    <dataValidation allowBlank="true" errorStyle="stop" operator="between" showDropDown="false" showErrorMessage="false" showInputMessage="false" sqref="G2:G13" type="list">
      <formula1>"Chưa bắt đầu,Đang làm,Xong,Đã rõ,Provisional,Không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4F53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42"/>
    <col collapsed="false" customWidth="true" hidden="false" outlineLevel="0" max="5" min="5" style="0" width="5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0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customFormat="false" ht="23.85" hidden="false" customHeight="false" outlineLevel="0" collapsed="false">
      <c r="A2" s="12" t="s">
        <v>272</v>
      </c>
      <c r="B2" s="13" t="s">
        <v>273</v>
      </c>
      <c r="C2" s="13" t="s">
        <v>274</v>
      </c>
      <c r="D2" s="13" t="s">
        <v>275</v>
      </c>
      <c r="E2" s="13" t="s">
        <v>276</v>
      </c>
      <c r="F2" s="14" t="s">
        <v>5</v>
      </c>
      <c r="G2" s="14" t="s">
        <v>40</v>
      </c>
      <c r="H2" s="13" t="s">
        <v>277</v>
      </c>
      <c r="I2" s="13"/>
    </row>
    <row r="3" customFormat="false" ht="23.85" hidden="false" customHeight="false" outlineLevel="0" collapsed="false">
      <c r="A3" s="15" t="s">
        <v>278</v>
      </c>
      <c r="B3" s="7" t="s">
        <v>279</v>
      </c>
      <c r="C3" s="7" t="s">
        <v>274</v>
      </c>
      <c r="D3" s="7" t="s">
        <v>280</v>
      </c>
      <c r="E3" s="7" t="s">
        <v>281</v>
      </c>
      <c r="F3" s="16" t="s">
        <v>5</v>
      </c>
      <c r="G3" s="16" t="s">
        <v>40</v>
      </c>
      <c r="H3" s="7" t="s">
        <v>282</v>
      </c>
      <c r="I3" s="7"/>
    </row>
    <row r="4" customFormat="false" ht="23.85" hidden="false" customHeight="false" outlineLevel="0" collapsed="false">
      <c r="A4" s="12" t="s">
        <v>283</v>
      </c>
      <c r="B4" s="13" t="s">
        <v>284</v>
      </c>
      <c r="C4" s="13" t="s">
        <v>274</v>
      </c>
      <c r="D4" s="13" t="s">
        <v>285</v>
      </c>
      <c r="E4" s="13" t="s">
        <v>286</v>
      </c>
      <c r="F4" s="14" t="s">
        <v>5</v>
      </c>
      <c r="G4" s="14" t="s">
        <v>40</v>
      </c>
      <c r="H4" s="13" t="s">
        <v>287</v>
      </c>
      <c r="I4" s="13"/>
    </row>
    <row r="5" customFormat="false" ht="23.85" hidden="false" customHeight="false" outlineLevel="0" collapsed="false">
      <c r="A5" s="15" t="s">
        <v>288</v>
      </c>
      <c r="B5" s="7" t="s">
        <v>289</v>
      </c>
      <c r="C5" s="7" t="s">
        <v>274</v>
      </c>
      <c r="D5" s="7" t="s">
        <v>290</v>
      </c>
      <c r="E5" s="7" t="s">
        <v>291</v>
      </c>
      <c r="F5" s="16" t="s">
        <v>5</v>
      </c>
      <c r="G5" s="16" t="s">
        <v>40</v>
      </c>
      <c r="H5" s="7"/>
      <c r="I5" s="7"/>
    </row>
    <row r="6" customFormat="false" ht="23.85" hidden="false" customHeight="false" outlineLevel="0" collapsed="false">
      <c r="A6" s="12" t="s">
        <v>292</v>
      </c>
      <c r="B6" s="13" t="s">
        <v>293</v>
      </c>
      <c r="C6" s="13" t="s">
        <v>274</v>
      </c>
      <c r="D6" s="13" t="s">
        <v>294</v>
      </c>
      <c r="E6" s="13" t="s">
        <v>295</v>
      </c>
      <c r="F6" s="14" t="s">
        <v>5</v>
      </c>
      <c r="G6" s="14" t="s">
        <v>40</v>
      </c>
      <c r="H6" s="13"/>
      <c r="I6" s="13"/>
    </row>
    <row r="7" customFormat="false" ht="23.85" hidden="false" customHeight="false" outlineLevel="0" collapsed="false">
      <c r="A7" s="15" t="s">
        <v>296</v>
      </c>
      <c r="B7" s="7" t="s">
        <v>297</v>
      </c>
      <c r="C7" s="7" t="s">
        <v>274</v>
      </c>
      <c r="D7" s="7" t="s">
        <v>298</v>
      </c>
      <c r="E7" s="7" t="s">
        <v>299</v>
      </c>
      <c r="F7" s="16" t="s">
        <v>5</v>
      </c>
      <c r="G7" s="16" t="s">
        <v>40</v>
      </c>
      <c r="H7" s="7" t="s">
        <v>300</v>
      </c>
      <c r="I7" s="7"/>
    </row>
    <row r="8" customFormat="false" ht="15" hidden="false" customHeight="false" outlineLevel="0" collapsed="false">
      <c r="A8" s="12" t="s">
        <v>301</v>
      </c>
      <c r="B8" s="13" t="s">
        <v>302</v>
      </c>
      <c r="C8" s="13" t="s">
        <v>274</v>
      </c>
      <c r="D8" s="13" t="s">
        <v>303</v>
      </c>
      <c r="E8" s="13" t="s">
        <v>304</v>
      </c>
      <c r="F8" s="14" t="s">
        <v>6</v>
      </c>
      <c r="G8" s="14" t="s">
        <v>40</v>
      </c>
      <c r="H8" s="13"/>
      <c r="I8" s="13"/>
    </row>
    <row r="9" customFormat="false" ht="35.05" hidden="false" customHeight="false" outlineLevel="0" collapsed="false">
      <c r="A9" s="15" t="s">
        <v>305</v>
      </c>
      <c r="B9" s="7" t="s">
        <v>306</v>
      </c>
      <c r="C9" s="7" t="s">
        <v>274</v>
      </c>
      <c r="D9" s="7" t="s">
        <v>307</v>
      </c>
      <c r="E9" s="7" t="s">
        <v>308</v>
      </c>
      <c r="F9" s="16" t="s">
        <v>6</v>
      </c>
      <c r="G9" s="16" t="s">
        <v>40</v>
      </c>
      <c r="H9" s="7"/>
      <c r="I9" s="7"/>
    </row>
    <row r="10" customFormat="false" ht="35.05" hidden="false" customHeight="false" outlineLevel="0" collapsed="false">
      <c r="A10" s="12" t="s">
        <v>309</v>
      </c>
      <c r="B10" s="13" t="s">
        <v>310</v>
      </c>
      <c r="C10" s="13" t="s">
        <v>311</v>
      </c>
      <c r="D10" s="13" t="s">
        <v>312</v>
      </c>
      <c r="E10" s="13" t="s">
        <v>313</v>
      </c>
      <c r="F10" s="14" t="s">
        <v>5</v>
      </c>
      <c r="G10" s="14" t="s">
        <v>40</v>
      </c>
      <c r="H10" s="13"/>
      <c r="I10" s="13"/>
    </row>
    <row r="11" customFormat="false" ht="57.45" hidden="false" customHeight="false" outlineLevel="0" collapsed="false">
      <c r="A11" s="15" t="s">
        <v>314</v>
      </c>
      <c r="B11" s="7" t="s">
        <v>315</v>
      </c>
      <c r="C11" s="7" t="s">
        <v>316</v>
      </c>
      <c r="D11" s="7" t="s">
        <v>317</v>
      </c>
      <c r="E11" s="7" t="s">
        <v>318</v>
      </c>
      <c r="F11" s="16" t="s">
        <v>5</v>
      </c>
      <c r="G11" s="16" t="s">
        <v>40</v>
      </c>
      <c r="H11" s="7"/>
      <c r="I11" s="7"/>
    </row>
    <row r="12" customFormat="false" ht="23.85" hidden="false" customHeight="false" outlineLevel="0" collapsed="false">
      <c r="A12" s="12" t="s">
        <v>319</v>
      </c>
      <c r="B12" s="13" t="s">
        <v>320</v>
      </c>
      <c r="C12" s="13" t="s">
        <v>321</v>
      </c>
      <c r="D12" s="13" t="s">
        <v>322</v>
      </c>
      <c r="E12" s="13" t="s">
        <v>323</v>
      </c>
      <c r="F12" s="14" t="s">
        <v>5</v>
      </c>
      <c r="G12" s="14" t="s">
        <v>40</v>
      </c>
      <c r="H12" s="13" t="s">
        <v>324</v>
      </c>
      <c r="I12" s="13"/>
    </row>
    <row r="13" customFormat="false" ht="23.85" hidden="false" customHeight="false" outlineLevel="0" collapsed="false">
      <c r="A13" s="15" t="s">
        <v>325</v>
      </c>
      <c r="B13" s="7" t="s">
        <v>326</v>
      </c>
      <c r="C13" s="7" t="s">
        <v>321</v>
      </c>
      <c r="D13" s="7" t="s">
        <v>327</v>
      </c>
      <c r="E13" s="7" t="s">
        <v>328</v>
      </c>
      <c r="F13" s="16" t="s">
        <v>5</v>
      </c>
      <c r="G13" s="16" t="s">
        <v>40</v>
      </c>
      <c r="H13" s="7" t="s">
        <v>329</v>
      </c>
      <c r="I13" s="7"/>
    </row>
    <row r="14" customFormat="false" ht="15" hidden="false" customHeight="false" outlineLevel="0" collapsed="false">
      <c r="A14" s="12" t="s">
        <v>330</v>
      </c>
      <c r="B14" s="13" t="s">
        <v>331</v>
      </c>
      <c r="C14" s="13" t="s">
        <v>332</v>
      </c>
      <c r="D14" s="13" t="s">
        <v>333</v>
      </c>
      <c r="E14" s="13" t="s">
        <v>334</v>
      </c>
      <c r="F14" s="14" t="s">
        <v>5</v>
      </c>
      <c r="G14" s="14" t="s">
        <v>40</v>
      </c>
      <c r="H14" s="13" t="s">
        <v>335</v>
      </c>
      <c r="I14" s="13"/>
    </row>
    <row r="15" customFormat="false" ht="23.85" hidden="false" customHeight="false" outlineLevel="0" collapsed="false">
      <c r="A15" s="15" t="s">
        <v>336</v>
      </c>
      <c r="B15" s="7" t="s">
        <v>337</v>
      </c>
      <c r="C15" s="7" t="s">
        <v>332</v>
      </c>
      <c r="D15" s="7" t="s">
        <v>338</v>
      </c>
      <c r="E15" s="7" t="s">
        <v>339</v>
      </c>
      <c r="F15" s="16" t="s">
        <v>5</v>
      </c>
      <c r="G15" s="16" t="s">
        <v>40</v>
      </c>
      <c r="H15" s="7" t="s">
        <v>340</v>
      </c>
      <c r="I15" s="7"/>
    </row>
    <row r="16" customFormat="false" ht="15" hidden="false" customHeight="false" outlineLevel="0" collapsed="false">
      <c r="A16" s="12" t="s">
        <v>341</v>
      </c>
      <c r="B16" s="13" t="s">
        <v>342</v>
      </c>
      <c r="C16" s="13" t="s">
        <v>332</v>
      </c>
      <c r="D16" s="13" t="s">
        <v>343</v>
      </c>
      <c r="E16" s="13" t="s">
        <v>344</v>
      </c>
      <c r="F16" s="14" t="s">
        <v>6</v>
      </c>
      <c r="G16" s="14" t="s">
        <v>40</v>
      </c>
      <c r="H16" s="13"/>
      <c r="I16" s="13"/>
    </row>
    <row r="17" customFormat="false" ht="23.85" hidden="false" customHeight="false" outlineLevel="0" collapsed="false">
      <c r="A17" s="15" t="s">
        <v>345</v>
      </c>
      <c r="B17" s="7" t="s">
        <v>346</v>
      </c>
      <c r="C17" s="7" t="s">
        <v>274</v>
      </c>
      <c r="D17" s="7" t="s">
        <v>347</v>
      </c>
      <c r="E17" s="7" t="s">
        <v>348</v>
      </c>
      <c r="F17" s="16" t="s">
        <v>6</v>
      </c>
      <c r="G17" s="16" t="s">
        <v>40</v>
      </c>
      <c r="H17" s="7" t="s">
        <v>349</v>
      </c>
      <c r="I17" s="7"/>
    </row>
    <row r="18" customFormat="false" ht="23.85" hidden="false" customHeight="false" outlineLevel="0" collapsed="false">
      <c r="A18" s="12" t="s">
        <v>350</v>
      </c>
      <c r="B18" s="13" t="s">
        <v>351</v>
      </c>
      <c r="C18" s="13" t="s">
        <v>274</v>
      </c>
      <c r="D18" s="13" t="s">
        <v>352</v>
      </c>
      <c r="E18" s="13" t="s">
        <v>353</v>
      </c>
      <c r="F18" s="14" t="s">
        <v>7</v>
      </c>
      <c r="G18" s="14" t="s">
        <v>40</v>
      </c>
      <c r="H18" s="13"/>
      <c r="I18" s="13"/>
    </row>
    <row r="19" customFormat="false" ht="23.85" hidden="false" customHeight="false" outlineLevel="0" collapsed="false">
      <c r="A19" s="15" t="s">
        <v>354</v>
      </c>
      <c r="B19" s="7" t="s">
        <v>355</v>
      </c>
      <c r="C19" s="7" t="s">
        <v>332</v>
      </c>
      <c r="D19" s="7" t="s">
        <v>356</v>
      </c>
      <c r="E19" s="7" t="s">
        <v>357</v>
      </c>
      <c r="F19" s="16" t="s">
        <v>5</v>
      </c>
      <c r="G19" s="16" t="s">
        <v>40</v>
      </c>
      <c r="H19" s="7"/>
      <c r="I19" s="7"/>
    </row>
    <row r="20" customFormat="false" ht="46.25" hidden="false" customHeight="false" outlineLevel="0" collapsed="false">
      <c r="A20" s="12" t="s">
        <v>358</v>
      </c>
      <c r="B20" s="13" t="s">
        <v>359</v>
      </c>
      <c r="C20" s="13" t="s">
        <v>316</v>
      </c>
      <c r="D20" s="13" t="s">
        <v>360</v>
      </c>
      <c r="E20" s="13" t="s">
        <v>361</v>
      </c>
      <c r="F20" s="14" t="s">
        <v>5</v>
      </c>
      <c r="G20" s="14" t="s">
        <v>40</v>
      </c>
      <c r="H20" s="13"/>
      <c r="I20" s="13"/>
    </row>
    <row r="21" customFormat="false" ht="23.85" hidden="false" customHeight="false" outlineLevel="0" collapsed="false">
      <c r="A21" s="15" t="s">
        <v>362</v>
      </c>
      <c r="B21" s="7" t="s">
        <v>363</v>
      </c>
      <c r="C21" s="7" t="s">
        <v>364</v>
      </c>
      <c r="D21" s="7" t="s">
        <v>365</v>
      </c>
      <c r="E21" s="7" t="s">
        <v>366</v>
      </c>
      <c r="F21" s="16" t="s">
        <v>5</v>
      </c>
      <c r="G21" s="16" t="s">
        <v>367</v>
      </c>
      <c r="H21" s="7" t="s">
        <v>368</v>
      </c>
      <c r="I21" s="7"/>
    </row>
  </sheetData>
  <autoFilter ref="A1:I21"/>
  <dataValidations count="2">
    <dataValidation allowBlank="true" errorStyle="stop" operator="between" showDropDown="false" showErrorMessage="false" showInputMessage="false" sqref="F2:F21" type="list">
      <formula1>"Bắt buộc,Nên có,Sau hackathon"</formula1>
      <formula2>0</formula2>
    </dataValidation>
    <dataValidation allowBlank="true" errorStyle="stop" operator="between" showDropDown="false" showErrorMessage="false" showInputMessage="false" sqref="G2:G21" type="list">
      <formula1>"Chưa bắt đầu,Đang làm,Xong,Đã rõ,Provisional,Không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4F53"/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42"/>
    <col collapsed="false" customWidth="true" hidden="false" outlineLevel="0" max="5" min="5" style="0" width="5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0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customFormat="false" ht="23.85" hidden="false" customHeight="false" outlineLevel="0" collapsed="false">
      <c r="A2" s="12" t="s">
        <v>369</v>
      </c>
      <c r="B2" s="13" t="s">
        <v>370</v>
      </c>
      <c r="C2" s="13" t="s">
        <v>371</v>
      </c>
      <c r="D2" s="13" t="s">
        <v>372</v>
      </c>
      <c r="E2" s="13" t="s">
        <v>373</v>
      </c>
      <c r="F2" s="14" t="s">
        <v>5</v>
      </c>
      <c r="G2" s="14" t="s">
        <v>374</v>
      </c>
      <c r="H2" s="13" t="s">
        <v>375</v>
      </c>
      <c r="I2" s="13"/>
    </row>
    <row r="3" customFormat="false" ht="15" hidden="false" customHeight="false" outlineLevel="0" collapsed="false">
      <c r="A3" s="15" t="s">
        <v>376</v>
      </c>
      <c r="B3" s="7" t="s">
        <v>377</v>
      </c>
      <c r="C3" s="7" t="s">
        <v>371</v>
      </c>
      <c r="D3" s="7" t="s">
        <v>378</v>
      </c>
      <c r="E3" s="7" t="s">
        <v>379</v>
      </c>
      <c r="F3" s="16" t="s">
        <v>7</v>
      </c>
      <c r="G3" s="16" t="s">
        <v>374</v>
      </c>
      <c r="H3" s="7" t="s">
        <v>380</v>
      </c>
      <c r="I3" s="7"/>
    </row>
    <row r="4" customFormat="false" ht="15" hidden="false" customHeight="false" outlineLevel="0" collapsed="false">
      <c r="A4" s="12" t="s">
        <v>381</v>
      </c>
      <c r="B4" s="13" t="s">
        <v>382</v>
      </c>
      <c r="C4" s="13" t="s">
        <v>371</v>
      </c>
      <c r="D4" s="13" t="s">
        <v>383</v>
      </c>
      <c r="E4" s="13"/>
      <c r="F4" s="14" t="s">
        <v>7</v>
      </c>
      <c r="G4" s="14" t="s">
        <v>374</v>
      </c>
      <c r="H4" s="13" t="s">
        <v>384</v>
      </c>
      <c r="I4" s="13"/>
    </row>
    <row r="5" customFormat="false" ht="23.85" hidden="false" customHeight="false" outlineLevel="0" collapsed="false">
      <c r="A5" s="15" t="s">
        <v>385</v>
      </c>
      <c r="B5" s="7" t="s">
        <v>386</v>
      </c>
      <c r="C5" s="7" t="s">
        <v>371</v>
      </c>
      <c r="D5" s="7" t="s">
        <v>387</v>
      </c>
      <c r="E5" s="7" t="s">
        <v>388</v>
      </c>
      <c r="F5" s="16" t="s">
        <v>5</v>
      </c>
      <c r="G5" s="16" t="s">
        <v>374</v>
      </c>
      <c r="H5" s="7" t="s">
        <v>389</v>
      </c>
      <c r="I5" s="7"/>
    </row>
    <row r="6" customFormat="false" ht="23.85" hidden="false" customHeight="false" outlineLevel="0" collapsed="false">
      <c r="A6" s="12" t="s">
        <v>390</v>
      </c>
      <c r="B6" s="13" t="s">
        <v>391</v>
      </c>
      <c r="C6" s="13" t="s">
        <v>371</v>
      </c>
      <c r="D6" s="13" t="s">
        <v>392</v>
      </c>
      <c r="E6" s="13" t="s">
        <v>393</v>
      </c>
      <c r="F6" s="14" t="s">
        <v>5</v>
      </c>
      <c r="G6" s="14" t="s">
        <v>374</v>
      </c>
      <c r="H6" s="13"/>
      <c r="I6" s="13"/>
    </row>
    <row r="7" customFormat="false" ht="23.85" hidden="false" customHeight="false" outlineLevel="0" collapsed="false">
      <c r="A7" s="15" t="s">
        <v>394</v>
      </c>
      <c r="B7" s="7" t="s">
        <v>395</v>
      </c>
      <c r="C7" s="7" t="s">
        <v>332</v>
      </c>
      <c r="D7" s="7" t="s">
        <v>396</v>
      </c>
      <c r="E7" s="7" t="s">
        <v>397</v>
      </c>
      <c r="F7" s="16" t="s">
        <v>7</v>
      </c>
      <c r="G7" s="16" t="s">
        <v>40</v>
      </c>
      <c r="H7" s="7" t="s">
        <v>398</v>
      </c>
      <c r="I7" s="7"/>
    </row>
    <row r="8" customFormat="false" ht="23.85" hidden="false" customHeight="false" outlineLevel="0" collapsed="false">
      <c r="A8" s="12" t="s">
        <v>399</v>
      </c>
      <c r="B8" s="13" t="s">
        <v>400</v>
      </c>
      <c r="C8" s="13" t="s">
        <v>401</v>
      </c>
      <c r="D8" s="13" t="s">
        <v>402</v>
      </c>
      <c r="E8" s="13" t="s">
        <v>403</v>
      </c>
      <c r="F8" s="14" t="s">
        <v>5</v>
      </c>
      <c r="G8" s="14" t="s">
        <v>40</v>
      </c>
      <c r="H8" s="13" t="s">
        <v>404</v>
      </c>
      <c r="I8" s="13"/>
    </row>
    <row r="9" customFormat="false" ht="23.85" hidden="false" customHeight="false" outlineLevel="0" collapsed="false">
      <c r="A9" s="15" t="s">
        <v>405</v>
      </c>
      <c r="B9" s="7" t="s">
        <v>406</v>
      </c>
      <c r="C9" s="7" t="s">
        <v>407</v>
      </c>
      <c r="D9" s="7" t="s">
        <v>408</v>
      </c>
      <c r="E9" s="7" t="s">
        <v>409</v>
      </c>
      <c r="F9" s="16" t="s">
        <v>5</v>
      </c>
      <c r="G9" s="16" t="s">
        <v>367</v>
      </c>
      <c r="H9" s="7" t="s">
        <v>410</v>
      </c>
      <c r="I9" s="7"/>
    </row>
    <row r="10" customFormat="false" ht="35.05" hidden="false" customHeight="false" outlineLevel="0" collapsed="false">
      <c r="A10" s="12" t="s">
        <v>411</v>
      </c>
      <c r="B10" s="13" t="s">
        <v>412</v>
      </c>
      <c r="C10" s="13" t="s">
        <v>364</v>
      </c>
      <c r="D10" s="13" t="s">
        <v>413</v>
      </c>
      <c r="E10" s="13" t="s">
        <v>414</v>
      </c>
      <c r="F10" s="14" t="s">
        <v>6</v>
      </c>
      <c r="G10" s="14" t="s">
        <v>367</v>
      </c>
      <c r="H10" s="13" t="s">
        <v>415</v>
      </c>
      <c r="I10" s="13"/>
    </row>
  </sheetData>
  <autoFilter ref="A1:I10"/>
  <dataValidations count="2">
    <dataValidation allowBlank="true" errorStyle="stop" operator="between" showDropDown="false" showErrorMessage="false" showInputMessage="false" sqref="F2:F10" type="list">
      <formula1>"Bắt buộc,Nên có,Sau hackathon"</formula1>
      <formula2>0</formula2>
    </dataValidation>
    <dataValidation allowBlank="true" errorStyle="stop" operator="between" showDropDown="false" showErrorMessage="false" showInputMessage="false" sqref="G2:G10" type="list">
      <formula1>"Chưa bắt đầu,Đang làm,Xong,Đã rõ,Provisional,Không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4F53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42"/>
    <col collapsed="false" customWidth="true" hidden="false" outlineLevel="0" max="5" min="5" style="0" width="5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0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customFormat="false" ht="23.85" hidden="false" customHeight="false" outlineLevel="0" collapsed="false">
      <c r="A2" s="12" t="s">
        <v>416</v>
      </c>
      <c r="B2" s="13" t="s">
        <v>417</v>
      </c>
      <c r="C2" s="13" t="s">
        <v>44</v>
      </c>
      <c r="D2" s="13" t="s">
        <v>418</v>
      </c>
      <c r="E2" s="13" t="s">
        <v>419</v>
      </c>
      <c r="F2" s="14" t="s">
        <v>5</v>
      </c>
      <c r="G2" s="14" t="s">
        <v>40</v>
      </c>
      <c r="H2" s="13" t="s">
        <v>420</v>
      </c>
      <c r="I2" s="13"/>
    </row>
    <row r="3" customFormat="false" ht="23.85" hidden="false" customHeight="false" outlineLevel="0" collapsed="false">
      <c r="A3" s="15" t="s">
        <v>421</v>
      </c>
      <c r="B3" s="7" t="s">
        <v>422</v>
      </c>
      <c r="C3" s="7" t="s">
        <v>423</v>
      </c>
      <c r="D3" s="7" t="s">
        <v>424</v>
      </c>
      <c r="E3" s="7" t="s">
        <v>425</v>
      </c>
      <c r="F3" s="16" t="s">
        <v>5</v>
      </c>
      <c r="G3" s="16" t="s">
        <v>40</v>
      </c>
      <c r="H3" s="7" t="s">
        <v>426</v>
      </c>
      <c r="I3" s="7"/>
    </row>
    <row r="4" customFormat="false" ht="35.05" hidden="false" customHeight="false" outlineLevel="0" collapsed="false">
      <c r="A4" s="12" t="s">
        <v>427</v>
      </c>
      <c r="B4" s="13" t="s">
        <v>428</v>
      </c>
      <c r="C4" s="13" t="s">
        <v>429</v>
      </c>
      <c r="D4" s="13" t="s">
        <v>265</v>
      </c>
      <c r="E4" s="13" t="s">
        <v>430</v>
      </c>
      <c r="F4" s="14" t="s">
        <v>5</v>
      </c>
      <c r="G4" s="14" t="s">
        <v>40</v>
      </c>
      <c r="H4" s="13" t="s">
        <v>431</v>
      </c>
      <c r="I4" s="13"/>
    </row>
    <row r="5" customFormat="false" ht="23.85" hidden="false" customHeight="false" outlineLevel="0" collapsed="false">
      <c r="A5" s="15" t="s">
        <v>432</v>
      </c>
      <c r="B5" s="7" t="s">
        <v>433</v>
      </c>
      <c r="C5" s="7" t="s">
        <v>434</v>
      </c>
      <c r="D5" s="7" t="s">
        <v>435</v>
      </c>
      <c r="E5" s="7" t="s">
        <v>436</v>
      </c>
      <c r="F5" s="16" t="s">
        <v>6</v>
      </c>
      <c r="G5" s="16" t="s">
        <v>40</v>
      </c>
      <c r="H5" s="7" t="s">
        <v>437</v>
      </c>
      <c r="I5" s="7"/>
    </row>
    <row r="6" customFormat="false" ht="23.85" hidden="false" customHeight="false" outlineLevel="0" collapsed="false">
      <c r="A6" s="12" t="s">
        <v>438</v>
      </c>
      <c r="B6" s="13" t="s">
        <v>439</v>
      </c>
      <c r="C6" s="13" t="s">
        <v>434</v>
      </c>
      <c r="D6" s="13" t="s">
        <v>440</v>
      </c>
      <c r="E6" s="13" t="s">
        <v>441</v>
      </c>
      <c r="F6" s="14" t="s">
        <v>5</v>
      </c>
      <c r="G6" s="14" t="s">
        <v>40</v>
      </c>
      <c r="H6" s="13"/>
      <c r="I6" s="13"/>
    </row>
    <row r="7" customFormat="false" ht="23.85" hidden="false" customHeight="false" outlineLevel="0" collapsed="false">
      <c r="A7" s="15" t="s">
        <v>442</v>
      </c>
      <c r="B7" s="7" t="s">
        <v>443</v>
      </c>
      <c r="C7" s="7" t="s">
        <v>423</v>
      </c>
      <c r="D7" s="7" t="s">
        <v>444</v>
      </c>
      <c r="E7" s="7" t="s">
        <v>445</v>
      </c>
      <c r="F7" s="16" t="s">
        <v>5</v>
      </c>
      <c r="G7" s="16" t="s">
        <v>40</v>
      </c>
      <c r="H7" s="7" t="s">
        <v>446</v>
      </c>
      <c r="I7" s="7"/>
    </row>
    <row r="8" customFormat="false" ht="23.85" hidden="false" customHeight="false" outlineLevel="0" collapsed="false">
      <c r="A8" s="12" t="s">
        <v>447</v>
      </c>
      <c r="B8" s="13" t="s">
        <v>448</v>
      </c>
      <c r="C8" s="13" t="s">
        <v>449</v>
      </c>
      <c r="D8" s="13" t="s">
        <v>450</v>
      </c>
      <c r="E8" s="13" t="s">
        <v>451</v>
      </c>
      <c r="F8" s="14" t="s">
        <v>6</v>
      </c>
      <c r="G8" s="14" t="s">
        <v>40</v>
      </c>
      <c r="H8" s="13"/>
      <c r="I8" s="13"/>
    </row>
    <row r="9" customFormat="false" ht="23.85" hidden="false" customHeight="false" outlineLevel="0" collapsed="false">
      <c r="A9" s="15" t="s">
        <v>452</v>
      </c>
      <c r="B9" s="7" t="s">
        <v>453</v>
      </c>
      <c r="C9" s="7" t="s">
        <v>454</v>
      </c>
      <c r="D9" s="7" t="s">
        <v>455</v>
      </c>
      <c r="E9" s="7" t="s">
        <v>456</v>
      </c>
      <c r="F9" s="16" t="s">
        <v>5</v>
      </c>
      <c r="G9" s="16" t="s">
        <v>40</v>
      </c>
      <c r="H9" s="7" t="s">
        <v>457</v>
      </c>
      <c r="I9" s="7"/>
    </row>
    <row r="10" customFormat="false" ht="15" hidden="false" customHeight="false" outlineLevel="0" collapsed="false">
      <c r="A10" s="12" t="s">
        <v>458</v>
      </c>
      <c r="B10" s="13" t="s">
        <v>459</v>
      </c>
      <c r="C10" s="13" t="s">
        <v>454</v>
      </c>
      <c r="D10" s="13" t="s">
        <v>460</v>
      </c>
      <c r="E10" s="13"/>
      <c r="F10" s="14" t="s">
        <v>6</v>
      </c>
      <c r="G10" s="14" t="s">
        <v>40</v>
      </c>
      <c r="H10" s="13"/>
      <c r="I10" s="13"/>
    </row>
    <row r="11" customFormat="false" ht="15" hidden="false" customHeight="false" outlineLevel="0" collapsed="false">
      <c r="A11" s="15" t="s">
        <v>461</v>
      </c>
      <c r="B11" s="7" t="s">
        <v>462</v>
      </c>
      <c r="C11" s="7" t="s">
        <v>463</v>
      </c>
      <c r="D11" s="7" t="s">
        <v>464</v>
      </c>
      <c r="E11" s="7" t="s">
        <v>465</v>
      </c>
      <c r="F11" s="16" t="s">
        <v>5</v>
      </c>
      <c r="G11" s="16" t="s">
        <v>40</v>
      </c>
      <c r="H11" s="7"/>
      <c r="I11" s="7"/>
    </row>
  </sheetData>
  <autoFilter ref="A1:I11"/>
  <dataValidations count="2">
    <dataValidation allowBlank="true" errorStyle="stop" operator="between" showDropDown="false" showErrorMessage="false" showInputMessage="false" sqref="F2:F11" type="list">
      <formula1>"Bắt buộc,Nên có,Sau hackathon"</formula1>
      <formula2>0</formula2>
    </dataValidation>
    <dataValidation allowBlank="true" errorStyle="stop" operator="between" showDropDown="false" showErrorMessage="false" showInputMessage="false" sqref="G2:G11" type="list">
      <formula1>"Chưa bắt đầu,Đang làm,Xong,Đã rõ,Provisional,Không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2026-09-04T10:17:23Z</dcterms:created>
  <dc:creator>openpyxl</dc:creator>
  <dc:description/>
  <dc:language>en-US</dc:language>
  <cp:lastModifiedBy/>
  <dcterms:modified xsi:type="dcterms:W3CDTF">2026-09-04T10:17:23Z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